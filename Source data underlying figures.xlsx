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H-研究生\虾夷可变剪接\第一次返修\"/>
    </mc:Choice>
  </mc:AlternateContent>
  <xr:revisionPtr revIDLastSave="0" documentId="8_{2F5EF5D0-F771-4D2F-B881-77909FD2C133}" xr6:coauthVersionLast="47" xr6:coauthVersionMax="47" xr10:uidLastSave="{00000000-0000-0000-0000-000000000000}"/>
  <bookViews>
    <workbookView xWindow="-110" yWindow="-110" windowWidth="19420" windowHeight="10300" xr2:uid="{B939257A-BBBC-4AF7-AD2F-D0D7B3FD8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7" i="1" l="1"/>
  <c r="D147" i="1"/>
  <c r="L146" i="1"/>
  <c r="K146" i="1"/>
  <c r="K147" i="1" s="1"/>
  <c r="J146" i="1"/>
  <c r="J147" i="1" s="1"/>
  <c r="I146" i="1"/>
  <c r="I147" i="1" s="1"/>
  <c r="H146" i="1"/>
  <c r="H147" i="1" s="1"/>
  <c r="G146" i="1"/>
  <c r="G147" i="1" s="1"/>
  <c r="F146" i="1"/>
  <c r="F147" i="1" s="1"/>
  <c r="E146" i="1"/>
  <c r="E147" i="1" s="1"/>
  <c r="D146" i="1"/>
  <c r="C146" i="1"/>
  <c r="C147" i="1" s="1"/>
  <c r="M145" i="1"/>
  <c r="M144" i="1"/>
  <c r="K143" i="1"/>
  <c r="J143" i="1"/>
  <c r="C143" i="1"/>
  <c r="L142" i="1"/>
  <c r="L143" i="1" s="1"/>
  <c r="K142" i="1"/>
  <c r="J142" i="1"/>
  <c r="I142" i="1"/>
  <c r="I143" i="1" s="1"/>
  <c r="H142" i="1"/>
  <c r="H143" i="1" s="1"/>
  <c r="G142" i="1"/>
  <c r="G143" i="1" s="1"/>
  <c r="F142" i="1"/>
  <c r="F143" i="1" s="1"/>
  <c r="E142" i="1"/>
  <c r="E143" i="1" s="1"/>
  <c r="D142" i="1"/>
  <c r="D143" i="1" s="1"/>
  <c r="C142" i="1"/>
  <c r="M141" i="1"/>
  <c r="M140" i="1"/>
  <c r="I139" i="1"/>
  <c r="H139" i="1"/>
  <c r="L138" i="1"/>
  <c r="L139" i="1" s="1"/>
  <c r="K138" i="1"/>
  <c r="K139" i="1" s="1"/>
  <c r="J138" i="1"/>
  <c r="J139" i="1" s="1"/>
  <c r="I138" i="1"/>
  <c r="H138" i="1"/>
  <c r="G138" i="1"/>
  <c r="G139" i="1" s="1"/>
  <c r="F138" i="1"/>
  <c r="F139" i="1" s="1"/>
  <c r="E138" i="1"/>
  <c r="E139" i="1" s="1"/>
  <c r="D138" i="1"/>
  <c r="D139" i="1" s="1"/>
  <c r="C138" i="1"/>
  <c r="C139" i="1" s="1"/>
  <c r="M137" i="1"/>
  <c r="M136" i="1"/>
  <c r="G135" i="1"/>
  <c r="F135" i="1"/>
  <c r="L134" i="1"/>
  <c r="L135" i="1" s="1"/>
  <c r="K134" i="1"/>
  <c r="K135" i="1" s="1"/>
  <c r="J134" i="1"/>
  <c r="J135" i="1" s="1"/>
  <c r="I134" i="1"/>
  <c r="I135" i="1" s="1"/>
  <c r="H134" i="1"/>
  <c r="H135" i="1" s="1"/>
  <c r="G134" i="1"/>
  <c r="F134" i="1"/>
  <c r="E134" i="1"/>
  <c r="E135" i="1" s="1"/>
  <c r="D134" i="1"/>
  <c r="D135" i="1" s="1"/>
  <c r="C134" i="1"/>
  <c r="C135" i="1" s="1"/>
  <c r="M133" i="1"/>
  <c r="M132" i="1"/>
  <c r="L131" i="1"/>
  <c r="E131" i="1"/>
  <c r="D131" i="1"/>
  <c r="L130" i="1"/>
  <c r="K130" i="1"/>
  <c r="K131" i="1" s="1"/>
  <c r="J130" i="1"/>
  <c r="J131" i="1" s="1"/>
  <c r="I130" i="1"/>
  <c r="I131" i="1" s="1"/>
  <c r="H130" i="1"/>
  <c r="H131" i="1" s="1"/>
  <c r="G130" i="1"/>
  <c r="G131" i="1" s="1"/>
  <c r="F130" i="1"/>
  <c r="F131" i="1" s="1"/>
  <c r="E130" i="1"/>
  <c r="D130" i="1"/>
  <c r="C130" i="1"/>
  <c r="C131" i="1" s="1"/>
  <c r="M129" i="1"/>
  <c r="M128" i="1"/>
  <c r="L102" i="1"/>
  <c r="K102" i="1"/>
  <c r="J102" i="1"/>
  <c r="I102" i="1"/>
  <c r="H102" i="1"/>
  <c r="G102" i="1"/>
  <c r="F102" i="1"/>
  <c r="E102" i="1"/>
  <c r="D102" i="1"/>
  <c r="C102" i="1"/>
  <c r="L87" i="1"/>
  <c r="K87" i="1"/>
  <c r="J87" i="1"/>
  <c r="I87" i="1"/>
  <c r="H87" i="1"/>
  <c r="G87" i="1"/>
  <c r="F87" i="1"/>
  <c r="E87" i="1"/>
  <c r="D87" i="1"/>
  <c r="C87" i="1"/>
  <c r="M84" i="1"/>
  <c r="F78" i="1"/>
  <c r="E78" i="1"/>
  <c r="D78" i="1"/>
  <c r="C78" i="1"/>
  <c r="B78" i="1"/>
  <c r="G77" i="1"/>
  <c r="G76" i="1"/>
  <c r="G75" i="1"/>
  <c r="G74" i="1"/>
  <c r="G73" i="1"/>
  <c r="G72" i="1"/>
  <c r="G71" i="1"/>
  <c r="G70" i="1"/>
  <c r="G69" i="1"/>
  <c r="G68" i="1"/>
  <c r="G78" i="1" s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T56" i="1"/>
  <c r="S56" i="1"/>
  <c r="R56" i="1"/>
  <c r="Q56" i="1"/>
  <c r="P56" i="1"/>
  <c r="O56" i="1"/>
  <c r="N56" i="1"/>
  <c r="M56" i="1"/>
  <c r="M64" i="1" s="1"/>
  <c r="L56" i="1"/>
  <c r="K56" i="1"/>
  <c r="J56" i="1"/>
  <c r="I56" i="1"/>
  <c r="H56" i="1"/>
  <c r="G56" i="1"/>
  <c r="F56" i="1"/>
  <c r="E56" i="1"/>
  <c r="E64" i="1" s="1"/>
  <c r="D56" i="1"/>
  <c r="C56" i="1"/>
  <c r="B56" i="1"/>
  <c r="T55" i="1"/>
  <c r="S55" i="1"/>
  <c r="R55" i="1"/>
  <c r="Q55" i="1"/>
  <c r="P55" i="1"/>
  <c r="O55" i="1"/>
  <c r="N55" i="1"/>
  <c r="N64" i="1" s="1"/>
  <c r="M55" i="1"/>
  <c r="L55" i="1"/>
  <c r="K55" i="1"/>
  <c r="J55" i="1"/>
  <c r="I55" i="1"/>
  <c r="H55" i="1"/>
  <c r="G55" i="1"/>
  <c r="F55" i="1"/>
  <c r="F64" i="1" s="1"/>
  <c r="E55" i="1"/>
  <c r="D55" i="1"/>
  <c r="C55" i="1"/>
  <c r="B55" i="1"/>
  <c r="T54" i="1"/>
  <c r="T64" i="1" s="1"/>
  <c r="S54" i="1"/>
  <c r="S64" i="1" s="1"/>
  <c r="R54" i="1"/>
  <c r="R64" i="1" s="1"/>
  <c r="Q54" i="1"/>
  <c r="Q64" i="1" s="1"/>
  <c r="P54" i="1"/>
  <c r="P64" i="1" s="1"/>
  <c r="O54" i="1"/>
  <c r="O64" i="1" s="1"/>
  <c r="N54" i="1"/>
  <c r="M54" i="1"/>
  <c r="L54" i="1"/>
  <c r="L64" i="1" s="1"/>
  <c r="K54" i="1"/>
  <c r="K64" i="1" s="1"/>
  <c r="J54" i="1"/>
  <c r="J64" i="1" s="1"/>
  <c r="I54" i="1"/>
  <c r="I64" i="1" s="1"/>
  <c r="H54" i="1"/>
  <c r="H64" i="1" s="1"/>
  <c r="G54" i="1"/>
  <c r="G64" i="1" s="1"/>
  <c r="F54" i="1"/>
  <c r="E54" i="1"/>
  <c r="D54" i="1"/>
  <c r="D64" i="1" s="1"/>
  <c r="C54" i="1"/>
  <c r="C64" i="1" s="1"/>
  <c r="B54" i="1"/>
  <c r="B64" i="1" s="1"/>
  <c r="G24" i="1"/>
  <c r="G23" i="1"/>
  <c r="G22" i="1"/>
  <c r="G21" i="1"/>
  <c r="G20" i="1"/>
  <c r="G19" i="1"/>
  <c r="G18" i="1"/>
  <c r="G17" i="1"/>
  <c r="G16" i="1"/>
  <c r="G15" i="1"/>
  <c r="Y6" i="1"/>
  <c r="Z6" i="1" s="1"/>
  <c r="Z5" i="1"/>
  <c r="Y5" i="1"/>
  <c r="Z4" i="1"/>
  <c r="Y4" i="1"/>
  <c r="Y3" i="1"/>
  <c r="Z3" i="1" s="1"/>
  <c r="Z2" i="1"/>
</calcChain>
</file>

<file path=xl/sharedStrings.xml><?xml version="1.0" encoding="utf-8"?>
<sst xmlns="http://schemas.openxmlformats.org/spreadsheetml/2006/main" count="261" uniqueCount="99">
  <si>
    <t>各组织AS和GENE数量双柱图</t>
    <phoneticPr fontId="2" type="noConversion"/>
  </si>
  <si>
    <t>AS</t>
    <phoneticPr fontId="2" type="noConversion"/>
  </si>
  <si>
    <t>GENE</t>
    <phoneticPr fontId="2" type="noConversion"/>
  </si>
  <si>
    <t>gene</t>
    <phoneticPr fontId="2" type="noConversion"/>
  </si>
  <si>
    <t>coding</t>
    <phoneticPr fontId="2" type="noConversion"/>
  </si>
  <si>
    <t>noncoding</t>
    <phoneticPr fontId="2" type="noConversion"/>
  </si>
  <si>
    <t>transcripts</t>
    <phoneticPr fontId="2" type="noConversion"/>
  </si>
  <si>
    <t>gene数</t>
    <phoneticPr fontId="2" type="noConversion"/>
  </si>
  <si>
    <t>trans数</t>
    <phoneticPr fontId="2" type="noConversion"/>
  </si>
  <si>
    <t>百分比</t>
    <phoneticPr fontId="2" type="noConversion"/>
  </si>
  <si>
    <t>Eye</t>
  </si>
  <si>
    <t xml:space="preserve">Annotated </t>
  </si>
  <si>
    <t>ISM</t>
  </si>
  <si>
    <t>1</t>
    <phoneticPr fontId="2" type="noConversion"/>
  </si>
  <si>
    <t>Ovary</t>
    <phoneticPr fontId="2" type="noConversion"/>
  </si>
  <si>
    <t xml:space="preserve">Novel  </t>
  </si>
  <si>
    <t>NNC</t>
  </si>
  <si>
    <t>2-3</t>
    <phoneticPr fontId="2" type="noConversion"/>
  </si>
  <si>
    <t>Foot</t>
  </si>
  <si>
    <t>transcript</t>
    <phoneticPr fontId="2" type="noConversion"/>
  </si>
  <si>
    <t>Intergenic</t>
  </si>
  <si>
    <t>4-5</t>
    <phoneticPr fontId="2" type="noConversion"/>
  </si>
  <si>
    <t>Gill</t>
  </si>
  <si>
    <t>FSM</t>
  </si>
  <si>
    <t>6-7</t>
    <phoneticPr fontId="2" type="noConversion"/>
  </si>
  <si>
    <t>Hepatopancreas</t>
  </si>
  <si>
    <t>Antisense</t>
  </si>
  <si>
    <t>&gt;=8</t>
    <phoneticPr fontId="2" type="noConversion"/>
  </si>
  <si>
    <t>Kidney</t>
  </si>
  <si>
    <t>NIC</t>
  </si>
  <si>
    <t>Testis</t>
    <phoneticPr fontId="2" type="noConversion"/>
  </si>
  <si>
    <t>Splice Junction Classification</t>
  </si>
  <si>
    <t>Genic Intron</t>
  </si>
  <si>
    <t>Mantle</t>
  </si>
  <si>
    <t xml:space="preserve"> Category</t>
  </si>
  <si>
    <t xml:space="preserve"> SJs, count</t>
  </si>
  <si>
    <t xml:space="preserve"> Percent</t>
  </si>
  <si>
    <t>Fusion</t>
  </si>
  <si>
    <t>Smooth_muscle</t>
  </si>
  <si>
    <t xml:space="preserve"> Known canonical</t>
  </si>
  <si>
    <t>Genic Genomic</t>
  </si>
  <si>
    <t>Striated_muscle</t>
  </si>
  <si>
    <t xml:space="preserve"> Known Non−canonical</t>
  </si>
  <si>
    <t xml:space="preserve"> Novel canonical</t>
  </si>
  <si>
    <t>各组织可变剪接分析不等于NA-雷达图</t>
    <phoneticPr fontId="2" type="noConversion"/>
  </si>
  <si>
    <t xml:space="preserve"> Novel Non−canonical</t>
  </si>
  <si>
    <t>SE</t>
    <phoneticPr fontId="2" type="noConversion"/>
  </si>
  <si>
    <t>RI</t>
    <phoneticPr fontId="2" type="noConversion"/>
  </si>
  <si>
    <t>A5SS</t>
    <phoneticPr fontId="2" type="noConversion"/>
  </si>
  <si>
    <t>A3SS</t>
    <phoneticPr fontId="2" type="noConversion"/>
  </si>
  <si>
    <t>MXE</t>
    <phoneticPr fontId="2" type="noConversion"/>
  </si>
  <si>
    <t>ALL</t>
    <phoneticPr fontId="2" type="noConversion"/>
  </si>
  <si>
    <t>剪接连接位置</t>
    <phoneticPr fontId="2" type="noConversion"/>
  </si>
  <si>
    <t>Intron splicing</t>
    <phoneticPr fontId="2" type="noConversion"/>
  </si>
  <si>
    <t>Exon splicing</t>
    <phoneticPr fontId="2" type="noConversion"/>
  </si>
  <si>
    <t>3'UTR splicing</t>
    <phoneticPr fontId="2" type="noConversion"/>
  </si>
  <si>
    <t>5'UTR splicing</t>
    <phoneticPr fontId="2" type="noConversion"/>
  </si>
  <si>
    <t>各组织AS在染色体上分布情况表四</t>
    <phoneticPr fontId="2" type="noConversion"/>
  </si>
  <si>
    <t>chr1</t>
    <phoneticPr fontId="2" type="noConversion"/>
  </si>
  <si>
    <t>chr2</t>
  </si>
  <si>
    <t>chr3</t>
  </si>
  <si>
    <t>chr4</t>
  </si>
  <si>
    <t>chr5</t>
  </si>
  <si>
    <t>chr6</t>
  </si>
  <si>
    <t>chr7</t>
  </si>
  <si>
    <t>chr8</t>
  </si>
  <si>
    <t>chr9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</si>
  <si>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</si>
  <si>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</si>
  <si>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</si>
  <si>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</si>
  <si>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</si>
  <si>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</si>
  <si>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</si>
  <si>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</si>
  <si>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</si>
  <si>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</si>
  <si>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as数</t>
    <phoneticPr fontId="2" type="noConversion"/>
  </si>
  <si>
    <t>组织特异性as--具体情况见tsas文件</t>
    <phoneticPr fontId="2" type="noConversion"/>
  </si>
  <si>
    <t>MXE</t>
  </si>
  <si>
    <t>ALL</t>
  </si>
  <si>
    <t>tsasgene与tsgene交集情况</t>
    <phoneticPr fontId="2" type="noConversion"/>
  </si>
  <si>
    <t>tsasgene</t>
    <phoneticPr fontId="2" type="noConversion"/>
  </si>
  <si>
    <t>tsgene</t>
    <phoneticPr fontId="2" type="noConversion"/>
  </si>
  <si>
    <t>jiaoji</t>
    <phoneticPr fontId="2" type="noConversion"/>
  </si>
  <si>
    <t>tstrans</t>
    <phoneticPr fontId="2" type="noConversion"/>
  </si>
  <si>
    <t>tsastrans与tstrans交集情况</t>
    <phoneticPr fontId="2" type="noConversion"/>
  </si>
  <si>
    <t>tsastrans</t>
    <phoneticPr fontId="2" type="noConversion"/>
  </si>
  <si>
    <t>tissue-specific gene</t>
    <phoneticPr fontId="2" type="noConversion"/>
  </si>
  <si>
    <t>tissue-specific transcript</t>
    <phoneticPr fontId="2" type="noConversion"/>
  </si>
  <si>
    <t>orf维持情况</t>
    <phoneticPr fontId="2" type="noConversion"/>
  </si>
  <si>
    <t>se</t>
    <phoneticPr fontId="2" type="noConversion"/>
  </si>
  <si>
    <t>weichi</t>
    <phoneticPr fontId="2" type="noConversion"/>
  </si>
  <si>
    <t>gaibian</t>
    <phoneticPr fontId="2" type="noConversion"/>
  </si>
  <si>
    <t>ri</t>
    <phoneticPr fontId="2" type="noConversion"/>
  </si>
  <si>
    <t>a3</t>
    <phoneticPr fontId="2" type="noConversion"/>
  </si>
  <si>
    <t>a5</t>
    <phoneticPr fontId="2" type="noConversion"/>
  </si>
  <si>
    <t>mx</t>
    <phoneticPr fontId="2" type="noConversion"/>
  </si>
  <si>
    <t>密度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</si>
</sst>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_);[Red]\(0.00\)"/>
  </numFmts>
  <fonts count="4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49" fontId="0" fillId="5" borderId="0" xfId="0" applyNumberFormat="1" applyFill="1">
      <alignment vertical="center"/>
    </xf>
    <xf numFmtId="10" fontId="0" fillId="4" borderId="0" xfId="0" applyNumberFormat="1" applyFill="1">
      <alignment vertical="center"/>
    </xf>
    <xf numFmtId="176" fontId="0" fillId="5" borderId="0" xfId="0" applyNumberForma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2" fontId="0" fillId="8" borderId="0" xfId="0" applyNumberFormat="1" applyFill="1">
      <alignment vertical="center"/>
    </xf>
    <xf numFmtId="2" fontId="0" fillId="3" borderId="0" xfId="0" applyNumberFormat="1" applyFill="1">
      <alignment vertical="center"/>
    </xf>
    <xf numFmtId="2" fontId="0" fillId="9" borderId="0" xfId="0" applyNumberFormat="1" applyFill="1">
      <alignment vertical="center"/>
    </xf>
    <xf numFmtId="177" fontId="0" fillId="0" borderId="0" xfId="0" applyNumberFormat="1">
      <alignment vertical="center"/>
    </xf>
    <xf numFmtId="177" fontId="0" fillId="3" borderId="0" xfId="0" applyNumberFormat="1" applyFill="1">
      <alignment vertical="center"/>
    </xf>
    <xf numFmtId="10" fontId="0" fillId="5" borderId="0" xfId="0" applyNumberFormat="1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3" fillId="1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0C8E-167D-4882-863C-7FC0D969CA84}">
  <dimension ref="A1:Z179"/>
  <sheetViews>
    <sheetView tabSelected="1" topLeftCell="A19" workbookViewId="0">
      <selection activeCell="A53" sqref="A53"/>
    </sheetView>
  </sheetViews>
  <sheetFormatPr defaultRowHeight="14" x14ac:dyDescent="0.3"/>
  <cols>
    <col min="1" max="1" width="21.75" customWidth="1"/>
    <col min="2" max="2" width="17.1640625" customWidth="1"/>
    <col min="3" max="20" width="9.5820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E1" s="2" t="s">
        <v>3</v>
      </c>
      <c r="F1" s="2">
        <v>56738</v>
      </c>
      <c r="H1" s="8" t="s">
        <v>31</v>
      </c>
      <c r="I1" s="8"/>
      <c r="J1" s="8"/>
      <c r="K1" s="16"/>
      <c r="L1" s="16"/>
      <c r="O1" s="3"/>
      <c r="P1" s="3"/>
      <c r="Q1" s="3" t="s">
        <v>4</v>
      </c>
      <c r="R1" s="3" t="s">
        <v>5</v>
      </c>
      <c r="V1" s="4" t="s">
        <v>6</v>
      </c>
      <c r="W1" s="4" t="s">
        <v>7</v>
      </c>
      <c r="X1" s="5" t="s">
        <v>8</v>
      </c>
      <c r="Y1" s="4" t="s">
        <v>7</v>
      </c>
      <c r="Z1" s="4" t="s">
        <v>9</v>
      </c>
    </row>
    <row r="2" spans="1:26" x14ac:dyDescent="0.3">
      <c r="A2" s="1" t="s">
        <v>10</v>
      </c>
      <c r="B2" s="1">
        <v>14614</v>
      </c>
      <c r="C2" s="1">
        <v>5279</v>
      </c>
      <c r="E2" s="2" t="s">
        <v>11</v>
      </c>
      <c r="F2" s="2">
        <v>18857</v>
      </c>
      <c r="H2" s="8" t="s">
        <v>34</v>
      </c>
      <c r="I2" s="8" t="s">
        <v>35</v>
      </c>
      <c r="J2" s="8" t="s">
        <v>36</v>
      </c>
      <c r="K2" s="16"/>
      <c r="L2" s="16"/>
      <c r="O2" s="3" t="s">
        <v>12</v>
      </c>
      <c r="P2" s="3">
        <v>69083</v>
      </c>
      <c r="Q2" s="6">
        <v>0.30609999999999998</v>
      </c>
      <c r="R2" s="6">
        <v>4.36E-2</v>
      </c>
      <c r="V2" s="4">
        <v>1</v>
      </c>
      <c r="W2" s="4">
        <v>39993</v>
      </c>
      <c r="X2" s="5" t="s">
        <v>13</v>
      </c>
      <c r="Y2" s="4">
        <v>39993</v>
      </c>
      <c r="Z2" s="7">
        <f>Y2/56738</f>
        <v>0.70487151468151854</v>
      </c>
    </row>
    <row r="3" spans="1:26" x14ac:dyDescent="0.3">
      <c r="A3" s="1" t="s">
        <v>14</v>
      </c>
      <c r="B3" s="1">
        <v>14250</v>
      </c>
      <c r="C3" s="1">
        <v>5314</v>
      </c>
      <c r="E3" s="2" t="s">
        <v>15</v>
      </c>
      <c r="F3" s="2">
        <v>37881</v>
      </c>
      <c r="H3" s="8" t="s">
        <v>39</v>
      </c>
      <c r="I3" s="8">
        <v>141352</v>
      </c>
      <c r="J3" s="8">
        <v>60.96</v>
      </c>
      <c r="K3" s="16"/>
      <c r="L3" s="16"/>
      <c r="O3" s="3" t="s">
        <v>16</v>
      </c>
      <c r="P3" s="3">
        <v>63126</v>
      </c>
      <c r="Q3" s="6">
        <v>0.28970000000000001</v>
      </c>
      <c r="R3" s="6">
        <v>2.98E-2</v>
      </c>
      <c r="V3" s="4">
        <v>2</v>
      </c>
      <c r="W3" s="4">
        <v>2964</v>
      </c>
      <c r="X3" s="5" t="s">
        <v>17</v>
      </c>
      <c r="Y3" s="4">
        <f>SUM(W3:W4)</f>
        <v>5129</v>
      </c>
      <c r="Z3" s="7">
        <f t="shared" ref="Z3:Z6" si="0">Y3/56738</f>
        <v>9.0397969614720297E-2</v>
      </c>
    </row>
    <row r="4" spans="1:26" x14ac:dyDescent="0.3">
      <c r="A4" s="1" t="s">
        <v>18</v>
      </c>
      <c r="B4" s="1">
        <v>13261</v>
      </c>
      <c r="C4" s="1">
        <v>4918</v>
      </c>
      <c r="E4" s="2" t="s">
        <v>19</v>
      </c>
      <c r="F4" s="2">
        <v>197576</v>
      </c>
      <c r="H4" s="8" t="s">
        <v>42</v>
      </c>
      <c r="I4" s="8">
        <v>0</v>
      </c>
      <c r="J4" s="8">
        <v>0</v>
      </c>
      <c r="K4" s="16"/>
      <c r="L4" s="16"/>
      <c r="O4" s="3" t="s">
        <v>20</v>
      </c>
      <c r="P4" s="3">
        <v>31902</v>
      </c>
      <c r="Q4" s="6">
        <v>4.7600000000000003E-2</v>
      </c>
      <c r="R4" s="6">
        <v>0.1138</v>
      </c>
      <c r="V4" s="4">
        <v>3</v>
      </c>
      <c r="W4" s="4">
        <v>2165</v>
      </c>
      <c r="X4" s="5" t="s">
        <v>21</v>
      </c>
      <c r="Y4" s="4">
        <f>SUM(W5:W6)</f>
        <v>2920</v>
      </c>
      <c r="Z4" s="7">
        <f t="shared" si="0"/>
        <v>5.146462688145511E-2</v>
      </c>
    </row>
    <row r="5" spans="1:26" x14ac:dyDescent="0.3">
      <c r="A5" s="1" t="s">
        <v>22</v>
      </c>
      <c r="B5" s="1">
        <v>12966</v>
      </c>
      <c r="C5" s="1">
        <v>4935</v>
      </c>
      <c r="E5" s="2" t="s">
        <v>4</v>
      </c>
      <c r="F5" s="2">
        <v>151123</v>
      </c>
      <c r="H5" s="8" t="s">
        <v>43</v>
      </c>
      <c r="I5" s="8">
        <v>86944</v>
      </c>
      <c r="J5" s="8">
        <v>37.5</v>
      </c>
      <c r="K5" s="16"/>
      <c r="L5" s="16"/>
      <c r="O5" s="3" t="s">
        <v>23</v>
      </c>
      <c r="P5" s="3">
        <v>13010</v>
      </c>
      <c r="Q5" s="6">
        <v>6.3799999999999996E-2</v>
      </c>
      <c r="R5" s="6">
        <v>2E-3</v>
      </c>
      <c r="V5" s="4">
        <v>4</v>
      </c>
      <c r="W5" s="4">
        <v>1595</v>
      </c>
      <c r="X5" s="5" t="s">
        <v>24</v>
      </c>
      <c r="Y5" s="4">
        <f>SUM(W7:W8)</f>
        <v>1952</v>
      </c>
      <c r="Z5" s="7">
        <f t="shared" si="0"/>
        <v>3.4403750572808346E-2</v>
      </c>
    </row>
    <row r="6" spans="1:26" x14ac:dyDescent="0.3">
      <c r="A6" s="1" t="s">
        <v>25</v>
      </c>
      <c r="B6" s="1">
        <v>10394</v>
      </c>
      <c r="C6" s="1">
        <v>4263</v>
      </c>
      <c r="E6" s="2" t="s">
        <v>5</v>
      </c>
      <c r="F6" s="2">
        <v>46453</v>
      </c>
      <c r="H6" s="8" t="s">
        <v>45</v>
      </c>
      <c r="I6" s="8">
        <v>3571</v>
      </c>
      <c r="J6" s="8">
        <v>1.54</v>
      </c>
      <c r="K6" s="16"/>
      <c r="L6" s="16"/>
      <c r="O6" s="3" t="s">
        <v>26</v>
      </c>
      <c r="P6" s="3">
        <v>8131</v>
      </c>
      <c r="Q6" s="6">
        <v>8.6E-3</v>
      </c>
      <c r="R6" s="6">
        <v>3.2599999999999997E-2</v>
      </c>
      <c r="V6" s="4">
        <v>5</v>
      </c>
      <c r="W6" s="4">
        <v>1325</v>
      </c>
      <c r="X6" s="5" t="s">
        <v>27</v>
      </c>
      <c r="Y6" s="4">
        <f>SUM(W9:W105)</f>
        <v>6744</v>
      </c>
      <c r="Z6" s="7">
        <f t="shared" si="0"/>
        <v>0.11886213824949769</v>
      </c>
    </row>
    <row r="7" spans="1:26" x14ac:dyDescent="0.3">
      <c r="A7" s="1" t="s">
        <v>28</v>
      </c>
      <c r="B7" s="1">
        <v>11862</v>
      </c>
      <c r="C7" s="1">
        <v>4597</v>
      </c>
      <c r="E7" s="18" t="s">
        <v>52</v>
      </c>
      <c r="F7" s="18"/>
      <c r="K7" s="16"/>
      <c r="L7" s="16"/>
      <c r="O7" s="3" t="s">
        <v>29</v>
      </c>
      <c r="P7" s="3">
        <v>4301</v>
      </c>
      <c r="Q7" s="6">
        <v>2.0899999999999998E-2</v>
      </c>
      <c r="R7" s="6">
        <v>8.9999999999999998E-4</v>
      </c>
      <c r="V7" s="4">
        <v>6</v>
      </c>
      <c r="W7" s="4">
        <v>1044</v>
      </c>
      <c r="X7" s="5"/>
      <c r="Y7" s="4"/>
      <c r="Z7" s="7"/>
    </row>
    <row r="8" spans="1:26" x14ac:dyDescent="0.3">
      <c r="A8" s="1" t="s">
        <v>30</v>
      </c>
      <c r="B8" s="1">
        <v>11886</v>
      </c>
      <c r="C8" s="1">
        <v>4626</v>
      </c>
      <c r="E8" s="18" t="s">
        <v>53</v>
      </c>
      <c r="F8" s="18">
        <v>213272</v>
      </c>
      <c r="I8" s="16"/>
      <c r="J8" s="16"/>
      <c r="K8" s="16"/>
      <c r="L8" s="16"/>
      <c r="O8" s="3" t="s">
        <v>32</v>
      </c>
      <c r="P8" s="3">
        <v>3122</v>
      </c>
      <c r="Q8" s="6">
        <v>5.5999999999999999E-3</v>
      </c>
      <c r="R8" s="6">
        <v>1.0200000000000001E-2</v>
      </c>
      <c r="V8" s="4">
        <v>7</v>
      </c>
      <c r="W8" s="4">
        <v>908</v>
      </c>
      <c r="X8" s="5"/>
      <c r="Y8" s="4"/>
      <c r="Z8" s="4"/>
    </row>
    <row r="9" spans="1:26" x14ac:dyDescent="0.3">
      <c r="A9" s="1" t="s">
        <v>33</v>
      </c>
      <c r="B9" s="1">
        <v>12259</v>
      </c>
      <c r="C9" s="1">
        <v>4642</v>
      </c>
      <c r="E9" s="18" t="s">
        <v>54</v>
      </c>
      <c r="F9" s="18">
        <v>9676</v>
      </c>
      <c r="I9" s="16"/>
      <c r="J9" s="16"/>
      <c r="K9" s="16"/>
      <c r="L9" s="16"/>
      <c r="O9" s="3" t="s">
        <v>37</v>
      </c>
      <c r="P9" s="3">
        <v>2995</v>
      </c>
      <c r="Q9" s="6">
        <v>1.47E-2</v>
      </c>
      <c r="R9" s="6">
        <v>5.0000000000000001E-4</v>
      </c>
      <c r="V9" s="4">
        <v>8</v>
      </c>
      <c r="W9" s="4">
        <v>768</v>
      </c>
      <c r="X9" s="5"/>
      <c r="Y9" s="4"/>
      <c r="Z9" s="4"/>
    </row>
    <row r="10" spans="1:26" x14ac:dyDescent="0.3">
      <c r="A10" s="1" t="s">
        <v>38</v>
      </c>
      <c r="B10" s="1">
        <v>7603</v>
      </c>
      <c r="C10" s="1">
        <v>2912</v>
      </c>
      <c r="E10" s="18" t="s">
        <v>55</v>
      </c>
      <c r="F10" s="18">
        <v>6563</v>
      </c>
      <c r="I10" s="16"/>
      <c r="J10" s="16"/>
      <c r="K10" s="16"/>
      <c r="L10" s="16"/>
      <c r="O10" s="3" t="s">
        <v>40</v>
      </c>
      <c r="P10" s="3">
        <v>1906</v>
      </c>
      <c r="Q10" s="6">
        <v>7.7999999999999996E-3</v>
      </c>
      <c r="R10" s="6">
        <v>1.8E-3</v>
      </c>
      <c r="V10" s="4">
        <v>9</v>
      </c>
      <c r="W10" s="4">
        <v>709</v>
      </c>
      <c r="X10" s="5"/>
      <c r="Y10" s="4"/>
      <c r="Z10" s="4"/>
    </row>
    <row r="11" spans="1:26" x14ac:dyDescent="0.3">
      <c r="A11" s="1" t="s">
        <v>41</v>
      </c>
      <c r="B11" s="1">
        <v>6230</v>
      </c>
      <c r="C11" s="1">
        <v>2438</v>
      </c>
      <c r="E11" s="18" t="s">
        <v>56</v>
      </c>
      <c r="F11" s="18">
        <v>2356</v>
      </c>
      <c r="I11" s="16"/>
      <c r="J11" s="16"/>
      <c r="K11" s="16"/>
      <c r="L11" s="16"/>
      <c r="V11" s="4">
        <v>10</v>
      </c>
      <c r="W11" s="4">
        <v>562</v>
      </c>
      <c r="X11" s="5"/>
      <c r="Y11" s="4"/>
      <c r="Z11" s="4"/>
    </row>
    <row r="12" spans="1:26" x14ac:dyDescent="0.3">
      <c r="I12" s="16"/>
      <c r="J12" s="16"/>
      <c r="K12" s="16"/>
      <c r="L12" s="16"/>
      <c r="V12" s="4">
        <v>11</v>
      </c>
      <c r="W12" s="4">
        <v>498</v>
      </c>
      <c r="X12" s="5"/>
      <c r="Y12" s="4"/>
      <c r="Z12" s="4"/>
    </row>
    <row r="13" spans="1:26" x14ac:dyDescent="0.3">
      <c r="A13" s="1" t="s">
        <v>44</v>
      </c>
      <c r="B13" s="1"/>
      <c r="C13" s="1"/>
      <c r="D13" s="1"/>
      <c r="E13" s="1"/>
      <c r="F13" s="1"/>
      <c r="G13" s="1"/>
      <c r="I13" s="16"/>
      <c r="J13" s="16"/>
      <c r="K13" s="16"/>
      <c r="L13" s="16"/>
      <c r="M13" s="16"/>
      <c r="V13" s="4">
        <v>12</v>
      </c>
      <c r="W13" s="4">
        <v>425</v>
      </c>
      <c r="X13" s="5"/>
      <c r="Y13" s="4"/>
      <c r="Z13" s="4"/>
    </row>
    <row r="14" spans="1:26" x14ac:dyDescent="0.3">
      <c r="A14" s="1"/>
      <c r="B14" s="1" t="s">
        <v>46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51</v>
      </c>
      <c r="I14" s="16"/>
      <c r="J14" s="16"/>
      <c r="K14" s="16"/>
      <c r="L14" s="16"/>
      <c r="M14" s="16"/>
      <c r="V14" s="4">
        <v>13</v>
      </c>
      <c r="W14" s="4">
        <v>382</v>
      </c>
      <c r="X14" s="5"/>
      <c r="Y14" s="4"/>
      <c r="Z14" s="4"/>
    </row>
    <row r="15" spans="1:26" x14ac:dyDescent="0.3">
      <c r="A15" s="1" t="s">
        <v>10</v>
      </c>
      <c r="B15" s="1">
        <v>7596</v>
      </c>
      <c r="C15" s="1">
        <v>2640</v>
      </c>
      <c r="D15" s="1">
        <v>1729</v>
      </c>
      <c r="E15" s="1">
        <v>1593</v>
      </c>
      <c r="F15" s="1">
        <v>1056</v>
      </c>
      <c r="G15" s="1">
        <f>SUM(B15:F15)</f>
        <v>14614</v>
      </c>
      <c r="I15" s="16"/>
      <c r="J15" s="16"/>
      <c r="K15" s="16"/>
      <c r="L15" s="16"/>
      <c r="M15" s="16"/>
      <c r="V15" s="4">
        <v>14</v>
      </c>
      <c r="W15" s="4">
        <v>325</v>
      </c>
      <c r="X15" s="5"/>
      <c r="Y15" s="4"/>
      <c r="Z15" s="4"/>
    </row>
    <row r="16" spans="1:26" x14ac:dyDescent="0.3">
      <c r="A16" s="1" t="s">
        <v>14</v>
      </c>
      <c r="B16" s="1">
        <v>7466</v>
      </c>
      <c r="C16" s="1">
        <v>2546</v>
      </c>
      <c r="D16" s="1">
        <v>1680</v>
      </c>
      <c r="E16" s="1">
        <v>1545</v>
      </c>
      <c r="F16" s="1">
        <v>1013</v>
      </c>
      <c r="G16" s="1">
        <f>SUM(B16:F16)</f>
        <v>14250</v>
      </c>
      <c r="I16" s="16"/>
      <c r="J16" s="16"/>
      <c r="K16" s="16"/>
      <c r="L16" s="17"/>
      <c r="M16" s="16"/>
      <c r="V16" s="4">
        <v>15</v>
      </c>
      <c r="W16" s="4">
        <v>300</v>
      </c>
      <c r="X16" s="5"/>
      <c r="Y16" s="4"/>
      <c r="Z16" s="4"/>
    </row>
    <row r="17" spans="1:26" x14ac:dyDescent="0.3">
      <c r="A17" s="1" t="s">
        <v>18</v>
      </c>
      <c r="B17" s="1">
        <v>7156</v>
      </c>
      <c r="C17" s="1">
        <v>2276</v>
      </c>
      <c r="D17" s="1">
        <v>1534</v>
      </c>
      <c r="E17" s="1">
        <v>1414</v>
      </c>
      <c r="F17" s="1">
        <v>881</v>
      </c>
      <c r="G17" s="1">
        <f t="shared" ref="G17:G24" si="1">SUM(B17:F17)</f>
        <v>13261</v>
      </c>
      <c r="I17" s="16"/>
      <c r="J17" s="16"/>
      <c r="K17" s="16"/>
      <c r="L17" s="17"/>
      <c r="M17" s="16"/>
      <c r="V17" s="4">
        <v>16</v>
      </c>
      <c r="W17" s="4">
        <v>239</v>
      </c>
      <c r="X17" s="5"/>
      <c r="Y17" s="4"/>
      <c r="Z17" s="4"/>
    </row>
    <row r="18" spans="1:26" x14ac:dyDescent="0.3">
      <c r="A18" s="1" t="s">
        <v>22</v>
      </c>
      <c r="B18" s="1">
        <v>7082</v>
      </c>
      <c r="C18" s="1">
        <v>2169</v>
      </c>
      <c r="D18" s="1">
        <v>1493</v>
      </c>
      <c r="E18" s="1">
        <v>1382</v>
      </c>
      <c r="F18" s="1">
        <v>840</v>
      </c>
      <c r="G18" s="1">
        <f t="shared" si="1"/>
        <v>12966</v>
      </c>
      <c r="I18" s="16"/>
      <c r="J18" s="16"/>
      <c r="K18" s="17"/>
      <c r="L18" s="16"/>
      <c r="M18" s="16"/>
      <c r="V18" s="4">
        <v>17</v>
      </c>
      <c r="W18" s="4">
        <v>218</v>
      </c>
      <c r="X18" s="5"/>
      <c r="Y18" s="4"/>
      <c r="Z18" s="4"/>
    </row>
    <row r="19" spans="1:26" x14ac:dyDescent="0.3">
      <c r="A19" s="1" t="s">
        <v>25</v>
      </c>
      <c r="B19" s="1">
        <v>5907</v>
      </c>
      <c r="C19" s="1">
        <v>1707</v>
      </c>
      <c r="D19" s="1">
        <v>1148</v>
      </c>
      <c r="E19" s="1">
        <v>1010</v>
      </c>
      <c r="F19" s="1">
        <v>622</v>
      </c>
      <c r="G19" s="1">
        <f t="shared" si="1"/>
        <v>10394</v>
      </c>
      <c r="I19" s="16"/>
      <c r="J19" s="16"/>
      <c r="K19" s="17"/>
      <c r="L19" s="16"/>
      <c r="M19" s="16"/>
      <c r="V19" s="4">
        <v>18</v>
      </c>
      <c r="W19" s="4">
        <v>222</v>
      </c>
      <c r="X19" s="5"/>
      <c r="Y19" s="4"/>
      <c r="Z19" s="4"/>
    </row>
    <row r="20" spans="1:26" x14ac:dyDescent="0.3">
      <c r="A20" s="1" t="s">
        <v>28</v>
      </c>
      <c r="B20" s="1">
        <v>6585</v>
      </c>
      <c r="C20" s="1">
        <v>1938</v>
      </c>
      <c r="D20" s="1">
        <v>1356</v>
      </c>
      <c r="E20" s="1">
        <v>1306</v>
      </c>
      <c r="F20" s="1">
        <v>677</v>
      </c>
      <c r="G20" s="1">
        <f t="shared" si="1"/>
        <v>11862</v>
      </c>
      <c r="I20" s="16"/>
      <c r="J20" s="16"/>
      <c r="K20" s="16"/>
      <c r="L20" s="16"/>
      <c r="M20" s="16"/>
      <c r="V20" s="4">
        <v>19</v>
      </c>
      <c r="W20" s="4">
        <v>179</v>
      </c>
      <c r="X20" s="5"/>
      <c r="Y20" s="4"/>
      <c r="Z20" s="4"/>
    </row>
    <row r="21" spans="1:26" x14ac:dyDescent="0.3">
      <c r="A21" s="1" t="s">
        <v>30</v>
      </c>
      <c r="B21" s="1">
        <v>6260</v>
      </c>
      <c r="C21" s="1">
        <v>2149</v>
      </c>
      <c r="D21" s="1">
        <v>1362</v>
      </c>
      <c r="E21" s="1">
        <v>1294</v>
      </c>
      <c r="F21" s="1">
        <v>821</v>
      </c>
      <c r="G21" s="1">
        <f t="shared" si="1"/>
        <v>11886</v>
      </c>
      <c r="I21" s="16"/>
      <c r="J21" s="16"/>
      <c r="K21" s="16"/>
      <c r="L21" s="16"/>
      <c r="M21" s="16"/>
      <c r="V21" s="4">
        <v>20</v>
      </c>
      <c r="W21" s="4">
        <v>156</v>
      </c>
      <c r="X21" s="5"/>
      <c r="Y21" s="4"/>
      <c r="Z21" s="4"/>
    </row>
    <row r="22" spans="1:26" x14ac:dyDescent="0.3">
      <c r="A22" s="1" t="s">
        <v>33</v>
      </c>
      <c r="B22" s="1">
        <v>6550</v>
      </c>
      <c r="C22" s="1">
        <v>2214</v>
      </c>
      <c r="D22" s="1">
        <v>1422</v>
      </c>
      <c r="E22" s="1">
        <v>1324</v>
      </c>
      <c r="F22" s="1">
        <v>749</v>
      </c>
      <c r="G22" s="1">
        <f t="shared" si="1"/>
        <v>12259</v>
      </c>
      <c r="V22" s="4">
        <v>21</v>
      </c>
      <c r="W22" s="4">
        <v>155</v>
      </c>
      <c r="X22" s="5"/>
      <c r="Y22" s="4"/>
      <c r="Z22" s="4"/>
    </row>
    <row r="23" spans="1:26" x14ac:dyDescent="0.3">
      <c r="A23" s="1" t="s">
        <v>38</v>
      </c>
      <c r="B23" s="1">
        <v>4271</v>
      </c>
      <c r="C23" s="1">
        <v>1274</v>
      </c>
      <c r="D23" s="1">
        <v>792</v>
      </c>
      <c r="E23" s="1">
        <v>708</v>
      </c>
      <c r="F23" s="1">
        <v>558</v>
      </c>
      <c r="G23" s="1">
        <f t="shared" si="1"/>
        <v>7603</v>
      </c>
      <c r="V23" s="4">
        <v>22</v>
      </c>
      <c r="W23" s="4">
        <v>134</v>
      </c>
      <c r="X23" s="5"/>
      <c r="Y23" s="4"/>
      <c r="Z23" s="4"/>
    </row>
    <row r="24" spans="1:26" x14ac:dyDescent="0.3">
      <c r="A24" s="1" t="s">
        <v>41</v>
      </c>
      <c r="B24" s="1">
        <v>3602</v>
      </c>
      <c r="C24" s="1">
        <v>1011</v>
      </c>
      <c r="D24" s="1">
        <v>573</v>
      </c>
      <c r="E24" s="1">
        <v>550</v>
      </c>
      <c r="F24" s="1">
        <v>494</v>
      </c>
      <c r="G24" s="1">
        <f t="shared" si="1"/>
        <v>6230</v>
      </c>
      <c r="V24" s="4">
        <v>23</v>
      </c>
      <c r="W24" s="4">
        <v>138</v>
      </c>
      <c r="X24" s="5"/>
      <c r="Y24" s="4"/>
      <c r="Z24" s="4"/>
    </row>
    <row r="25" spans="1:26" x14ac:dyDescent="0.3">
      <c r="V25" s="4">
        <v>24</v>
      </c>
      <c r="W25" s="4">
        <v>120</v>
      </c>
      <c r="X25" s="5"/>
      <c r="Y25" s="4"/>
      <c r="Z25" s="4"/>
    </row>
    <row r="26" spans="1:26" x14ac:dyDescent="0.3">
      <c r="A26" s="9" t="s">
        <v>57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V26" s="4">
        <v>25</v>
      </c>
      <c r="W26" s="4">
        <v>92</v>
      </c>
      <c r="X26" s="5"/>
      <c r="Y26" s="4"/>
      <c r="Z26" s="4"/>
    </row>
    <row r="27" spans="1:26" x14ac:dyDescent="0.3">
      <c r="A27" s="9" t="s">
        <v>3</v>
      </c>
      <c r="B27" s="9" t="s">
        <v>58</v>
      </c>
      <c r="C27" s="9" t="s">
        <v>59</v>
      </c>
      <c r="D27" s="9" t="s">
        <v>60</v>
      </c>
      <c r="E27" s="9" t="s">
        <v>61</v>
      </c>
      <c r="F27" s="9" t="s">
        <v>62</v>
      </c>
      <c r="G27" s="9" t="s">
        <v>63</v>
      </c>
      <c r="H27" s="9" t="s">
        <v>64</v>
      </c>
      <c r="I27" s="9" t="s">
        <v>65</v>
      </c>
      <c r="J27" s="9" t="s">
        <v>66</v>
      </c>
      <c r="K27" s="9" t="s">
        <v>67</v>
      </c>
      <c r="L27" s="9" t="s">
        <v>68</v>
      </c>
      <c r="M27" s="9" t="s">
        <v>69</v>
      </c>
      <c r="N27" s="9" t="s">
        <v>70</v>
      </c>
      <c r="O27" s="9" t="s">
        <v>71</v>
      </c>
      <c r="P27" s="9" t="s">
        <v>72</v>
      </c>
      <c r="Q27" s="9" t="s">
        <v>73</v>
      </c>
      <c r="R27" s="9" t="s">
        <v>74</v>
      </c>
      <c r="S27" s="9" t="s">
        <v>75</v>
      </c>
      <c r="T27" s="9" t="s">
        <v>76</v>
      </c>
      <c r="V27" s="4">
        <v>26</v>
      </c>
      <c r="W27" s="4">
        <v>104</v>
      </c>
      <c r="X27" s="5"/>
      <c r="Y27" s="4"/>
      <c r="Z27" s="4"/>
    </row>
    <row r="28" spans="1:26" x14ac:dyDescent="0.3">
      <c r="A28" s="9" t="s">
        <v>10</v>
      </c>
      <c r="B28">
        <v>1597</v>
      </c>
      <c r="C28">
        <v>1801</v>
      </c>
      <c r="D28">
        <v>1683</v>
      </c>
      <c r="E28">
        <v>1580</v>
      </c>
      <c r="F28">
        <v>1708</v>
      </c>
      <c r="G28">
        <v>1441</v>
      </c>
      <c r="H28">
        <v>1361</v>
      </c>
      <c r="I28">
        <v>1391</v>
      </c>
      <c r="J28">
        <v>1106</v>
      </c>
      <c r="K28">
        <v>1279</v>
      </c>
      <c r="L28">
        <v>1101</v>
      </c>
      <c r="M28">
        <v>1247</v>
      </c>
      <c r="N28">
        <v>1050</v>
      </c>
      <c r="O28">
        <v>1045</v>
      </c>
      <c r="P28">
        <v>891</v>
      </c>
      <c r="Q28">
        <v>740</v>
      </c>
      <c r="R28">
        <v>679</v>
      </c>
      <c r="S28">
        <v>816</v>
      </c>
      <c r="T28">
        <v>652</v>
      </c>
      <c r="V28" s="4">
        <v>27</v>
      </c>
      <c r="W28" s="4">
        <v>75</v>
      </c>
      <c r="X28" s="5"/>
      <c r="Y28" s="4"/>
      <c r="Z28" s="4"/>
    </row>
    <row r="29" spans="1:26" x14ac:dyDescent="0.3">
      <c r="A29" s="9" t="s">
        <v>14</v>
      </c>
      <c r="B29">
        <v>1500</v>
      </c>
      <c r="C29">
        <v>1673</v>
      </c>
      <c r="D29">
        <v>1503</v>
      </c>
      <c r="E29">
        <v>1462</v>
      </c>
      <c r="F29">
        <v>1572</v>
      </c>
      <c r="G29">
        <v>1312</v>
      </c>
      <c r="H29">
        <v>1291</v>
      </c>
      <c r="I29">
        <v>1262</v>
      </c>
      <c r="J29">
        <v>987</v>
      </c>
      <c r="K29">
        <v>1251</v>
      </c>
      <c r="L29">
        <v>1021</v>
      </c>
      <c r="M29">
        <v>1137</v>
      </c>
      <c r="N29">
        <v>920</v>
      </c>
      <c r="O29">
        <v>1033</v>
      </c>
      <c r="P29">
        <v>819</v>
      </c>
      <c r="Q29">
        <v>593</v>
      </c>
      <c r="R29">
        <v>614</v>
      </c>
      <c r="S29">
        <v>865</v>
      </c>
      <c r="T29">
        <v>521</v>
      </c>
      <c r="V29" s="4">
        <v>28</v>
      </c>
      <c r="W29" s="4">
        <v>61</v>
      </c>
      <c r="X29" s="5"/>
      <c r="Y29" s="4"/>
      <c r="Z29" s="4"/>
    </row>
    <row r="30" spans="1:26" x14ac:dyDescent="0.3">
      <c r="A30" s="9" t="s">
        <v>18</v>
      </c>
      <c r="B30">
        <v>1563</v>
      </c>
      <c r="C30">
        <v>1728</v>
      </c>
      <c r="D30">
        <v>1538</v>
      </c>
      <c r="E30">
        <v>1504</v>
      </c>
      <c r="F30">
        <v>1640</v>
      </c>
      <c r="G30">
        <v>1383</v>
      </c>
      <c r="H30">
        <v>1296</v>
      </c>
      <c r="I30">
        <v>1304</v>
      </c>
      <c r="J30">
        <v>1014</v>
      </c>
      <c r="K30">
        <v>1226</v>
      </c>
      <c r="L30">
        <v>1063</v>
      </c>
      <c r="M30">
        <v>1141</v>
      </c>
      <c r="N30">
        <v>1080</v>
      </c>
      <c r="O30">
        <v>1010</v>
      </c>
      <c r="P30">
        <v>801</v>
      </c>
      <c r="Q30">
        <v>706</v>
      </c>
      <c r="R30">
        <v>654</v>
      </c>
      <c r="S30">
        <v>829</v>
      </c>
      <c r="T30">
        <v>648</v>
      </c>
      <c r="V30" s="4">
        <v>29</v>
      </c>
      <c r="W30" s="4">
        <v>75</v>
      </c>
      <c r="X30" s="5"/>
      <c r="Y30" s="4"/>
      <c r="Z30" s="4"/>
    </row>
    <row r="31" spans="1:26" x14ac:dyDescent="0.3">
      <c r="A31" s="9" t="s">
        <v>22</v>
      </c>
      <c r="B31">
        <v>1628</v>
      </c>
      <c r="C31">
        <v>1850</v>
      </c>
      <c r="D31">
        <v>1675</v>
      </c>
      <c r="E31">
        <v>1603</v>
      </c>
      <c r="F31">
        <v>1690</v>
      </c>
      <c r="G31">
        <v>1506</v>
      </c>
      <c r="H31">
        <v>1413</v>
      </c>
      <c r="I31">
        <v>1409</v>
      </c>
      <c r="J31">
        <v>1078</v>
      </c>
      <c r="K31">
        <v>1328</v>
      </c>
      <c r="L31">
        <v>1118</v>
      </c>
      <c r="M31">
        <v>1244</v>
      </c>
      <c r="N31">
        <v>1103</v>
      </c>
      <c r="O31">
        <v>1123</v>
      </c>
      <c r="P31">
        <v>905</v>
      </c>
      <c r="Q31">
        <v>829</v>
      </c>
      <c r="R31">
        <v>728</v>
      </c>
      <c r="S31">
        <v>899</v>
      </c>
      <c r="T31">
        <v>681</v>
      </c>
      <c r="V31" s="4">
        <v>30</v>
      </c>
      <c r="W31" s="4">
        <v>56</v>
      </c>
      <c r="X31" s="5"/>
      <c r="Y31" s="4"/>
      <c r="Z31" s="4"/>
    </row>
    <row r="32" spans="1:26" x14ac:dyDescent="0.3">
      <c r="A32" s="9" t="s">
        <v>25</v>
      </c>
      <c r="B32">
        <v>1165</v>
      </c>
      <c r="C32">
        <v>1284</v>
      </c>
      <c r="D32">
        <v>1137</v>
      </c>
      <c r="E32">
        <v>1070</v>
      </c>
      <c r="F32">
        <v>1218</v>
      </c>
      <c r="G32">
        <v>1006</v>
      </c>
      <c r="H32">
        <v>971</v>
      </c>
      <c r="I32">
        <v>972</v>
      </c>
      <c r="J32">
        <v>781</v>
      </c>
      <c r="K32">
        <v>954</v>
      </c>
      <c r="L32">
        <v>709</v>
      </c>
      <c r="M32">
        <v>817</v>
      </c>
      <c r="N32">
        <v>715</v>
      </c>
      <c r="O32">
        <v>750</v>
      </c>
      <c r="P32">
        <v>665</v>
      </c>
      <c r="Q32">
        <v>522</v>
      </c>
      <c r="R32">
        <v>466</v>
      </c>
      <c r="S32">
        <v>635</v>
      </c>
      <c r="T32">
        <v>449</v>
      </c>
      <c r="V32" s="4">
        <v>31</v>
      </c>
      <c r="W32" s="4">
        <v>65</v>
      </c>
      <c r="X32" s="5"/>
      <c r="Y32" s="4"/>
      <c r="Z32" s="4"/>
    </row>
    <row r="33" spans="1:26" x14ac:dyDescent="0.3">
      <c r="A33" s="9" t="s">
        <v>28</v>
      </c>
      <c r="B33">
        <v>1520</v>
      </c>
      <c r="C33">
        <v>1675</v>
      </c>
      <c r="D33">
        <v>1537</v>
      </c>
      <c r="E33">
        <v>1359</v>
      </c>
      <c r="F33">
        <v>1526</v>
      </c>
      <c r="G33">
        <v>1262</v>
      </c>
      <c r="H33">
        <v>1252</v>
      </c>
      <c r="I33">
        <v>1320</v>
      </c>
      <c r="J33">
        <v>977</v>
      </c>
      <c r="K33">
        <v>1209</v>
      </c>
      <c r="L33">
        <v>964</v>
      </c>
      <c r="M33">
        <v>1129</v>
      </c>
      <c r="N33">
        <v>984</v>
      </c>
      <c r="O33">
        <v>995</v>
      </c>
      <c r="P33">
        <v>778</v>
      </c>
      <c r="Q33">
        <v>678</v>
      </c>
      <c r="R33">
        <v>639</v>
      </c>
      <c r="S33">
        <v>776</v>
      </c>
      <c r="T33">
        <v>583</v>
      </c>
      <c r="V33" s="4">
        <v>32</v>
      </c>
      <c r="W33" s="4">
        <v>58</v>
      </c>
      <c r="X33" s="5"/>
      <c r="Y33" s="4"/>
      <c r="Z33" s="4"/>
    </row>
    <row r="34" spans="1:26" x14ac:dyDescent="0.3">
      <c r="A34" s="9" t="s">
        <v>30</v>
      </c>
      <c r="B34">
        <v>1384</v>
      </c>
      <c r="C34">
        <v>1497</v>
      </c>
      <c r="D34">
        <v>1366</v>
      </c>
      <c r="E34">
        <v>1355</v>
      </c>
      <c r="F34">
        <v>1499</v>
      </c>
      <c r="G34">
        <v>1163</v>
      </c>
      <c r="H34">
        <v>1154</v>
      </c>
      <c r="I34">
        <v>1188</v>
      </c>
      <c r="J34">
        <v>892</v>
      </c>
      <c r="K34">
        <v>1156</v>
      </c>
      <c r="L34">
        <v>948</v>
      </c>
      <c r="M34">
        <v>999</v>
      </c>
      <c r="N34">
        <v>871</v>
      </c>
      <c r="O34">
        <v>882</v>
      </c>
      <c r="P34">
        <v>744</v>
      </c>
      <c r="Q34">
        <v>515</v>
      </c>
      <c r="R34">
        <v>511</v>
      </c>
      <c r="S34">
        <v>675</v>
      </c>
      <c r="T34">
        <v>478</v>
      </c>
      <c r="V34" s="4">
        <v>33</v>
      </c>
      <c r="W34" s="4">
        <v>30</v>
      </c>
      <c r="X34" s="5"/>
      <c r="Y34" s="4"/>
      <c r="Z34" s="4"/>
    </row>
    <row r="35" spans="1:26" x14ac:dyDescent="0.3">
      <c r="A35" s="9" t="s">
        <v>33</v>
      </c>
      <c r="B35">
        <v>1648</v>
      </c>
      <c r="C35">
        <v>1813</v>
      </c>
      <c r="D35">
        <v>1698</v>
      </c>
      <c r="E35">
        <v>1583</v>
      </c>
      <c r="F35">
        <v>1677</v>
      </c>
      <c r="G35">
        <v>1467</v>
      </c>
      <c r="H35">
        <v>1366</v>
      </c>
      <c r="I35">
        <v>1416</v>
      </c>
      <c r="J35">
        <v>1085</v>
      </c>
      <c r="K35">
        <v>1312</v>
      </c>
      <c r="L35">
        <v>1158</v>
      </c>
      <c r="M35">
        <v>1233</v>
      </c>
      <c r="N35">
        <v>1115</v>
      </c>
      <c r="O35">
        <v>1074</v>
      </c>
      <c r="P35">
        <v>926</v>
      </c>
      <c r="Q35">
        <v>747</v>
      </c>
      <c r="R35">
        <v>716</v>
      </c>
      <c r="S35">
        <v>849</v>
      </c>
      <c r="T35">
        <v>676</v>
      </c>
      <c r="V35" s="4">
        <v>34</v>
      </c>
      <c r="W35" s="4">
        <v>45</v>
      </c>
      <c r="X35" s="5"/>
      <c r="Y35" s="4"/>
      <c r="Z35" s="4"/>
    </row>
    <row r="36" spans="1:26" x14ac:dyDescent="0.3">
      <c r="A36" s="9" t="s">
        <v>38</v>
      </c>
      <c r="B36">
        <v>1129</v>
      </c>
      <c r="C36">
        <v>1287</v>
      </c>
      <c r="D36">
        <v>1105</v>
      </c>
      <c r="E36">
        <v>1063</v>
      </c>
      <c r="F36">
        <v>1226</v>
      </c>
      <c r="G36">
        <v>975</v>
      </c>
      <c r="H36">
        <v>903</v>
      </c>
      <c r="I36">
        <v>938</v>
      </c>
      <c r="J36">
        <v>738</v>
      </c>
      <c r="K36">
        <v>922</v>
      </c>
      <c r="L36">
        <v>777</v>
      </c>
      <c r="M36">
        <v>825</v>
      </c>
      <c r="N36">
        <v>733</v>
      </c>
      <c r="O36">
        <v>695</v>
      </c>
      <c r="P36">
        <v>600</v>
      </c>
      <c r="Q36">
        <v>439</v>
      </c>
      <c r="R36">
        <v>391</v>
      </c>
      <c r="S36">
        <v>562</v>
      </c>
      <c r="T36">
        <v>398</v>
      </c>
      <c r="V36" s="4">
        <v>35</v>
      </c>
      <c r="W36" s="4">
        <v>51</v>
      </c>
      <c r="X36" s="5"/>
      <c r="Y36" s="4"/>
      <c r="Z36" s="4"/>
    </row>
    <row r="37" spans="1:26" x14ac:dyDescent="0.3">
      <c r="A37" s="9" t="s">
        <v>41</v>
      </c>
      <c r="B37">
        <v>919</v>
      </c>
      <c r="C37">
        <v>1056</v>
      </c>
      <c r="D37">
        <v>876</v>
      </c>
      <c r="E37">
        <v>880</v>
      </c>
      <c r="F37">
        <v>929</v>
      </c>
      <c r="G37">
        <v>763</v>
      </c>
      <c r="H37">
        <v>686</v>
      </c>
      <c r="I37">
        <v>752</v>
      </c>
      <c r="J37">
        <v>602</v>
      </c>
      <c r="K37">
        <v>727</v>
      </c>
      <c r="L37">
        <v>591</v>
      </c>
      <c r="M37">
        <v>686</v>
      </c>
      <c r="N37">
        <v>522</v>
      </c>
      <c r="O37">
        <v>526</v>
      </c>
      <c r="P37">
        <v>471</v>
      </c>
      <c r="Q37">
        <v>336</v>
      </c>
      <c r="R37">
        <v>282</v>
      </c>
      <c r="S37">
        <v>428</v>
      </c>
      <c r="T37">
        <v>315</v>
      </c>
      <c r="V37" s="4">
        <v>36</v>
      </c>
      <c r="W37" s="4">
        <v>42</v>
      </c>
      <c r="X37" s="5"/>
      <c r="Y37" s="4"/>
      <c r="Z37" s="4"/>
    </row>
    <row r="38" spans="1:26" x14ac:dyDescent="0.3">
      <c r="V38" s="4">
        <v>37</v>
      </c>
      <c r="W38" s="4">
        <v>35</v>
      </c>
      <c r="X38" s="5"/>
      <c r="Y38" s="4"/>
      <c r="Z38" s="4"/>
    </row>
    <row r="39" spans="1:26" x14ac:dyDescent="0.3">
      <c r="A39" s="9" t="s">
        <v>57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V39" s="4">
        <v>38</v>
      </c>
      <c r="W39" s="4">
        <v>35</v>
      </c>
      <c r="X39" s="5"/>
      <c r="Y39" s="4"/>
      <c r="Z39" s="4"/>
    </row>
    <row r="40" spans="1:26" x14ac:dyDescent="0.3">
      <c r="A40" s="9" t="s">
        <v>77</v>
      </c>
      <c r="B40" s="9" t="s">
        <v>58</v>
      </c>
      <c r="C40" s="9" t="s">
        <v>59</v>
      </c>
      <c r="D40" s="9" t="s">
        <v>60</v>
      </c>
      <c r="E40" s="9" t="s">
        <v>61</v>
      </c>
      <c r="F40" s="9" t="s">
        <v>62</v>
      </c>
      <c r="G40" s="9" t="s">
        <v>63</v>
      </c>
      <c r="H40" s="9" t="s">
        <v>64</v>
      </c>
      <c r="I40" s="9" t="s">
        <v>65</v>
      </c>
      <c r="J40" s="9" t="s">
        <v>66</v>
      </c>
      <c r="K40" s="9" t="s">
        <v>67</v>
      </c>
      <c r="L40" s="9" t="s">
        <v>68</v>
      </c>
      <c r="M40" s="9" t="s">
        <v>69</v>
      </c>
      <c r="N40" s="9" t="s">
        <v>70</v>
      </c>
      <c r="O40" s="9" t="s">
        <v>71</v>
      </c>
      <c r="P40" s="9" t="s">
        <v>72</v>
      </c>
      <c r="Q40" s="9" t="s">
        <v>73</v>
      </c>
      <c r="R40" s="9" t="s">
        <v>74</v>
      </c>
      <c r="S40" s="9" t="s">
        <v>75</v>
      </c>
      <c r="T40" s="9" t="s">
        <v>76</v>
      </c>
      <c r="V40" s="4">
        <v>39</v>
      </c>
      <c r="W40" s="4">
        <v>34</v>
      </c>
      <c r="X40" s="5"/>
      <c r="Y40" s="4"/>
      <c r="Z40" s="4"/>
    </row>
    <row r="41" spans="1:26" x14ac:dyDescent="0.3">
      <c r="A41" s="9" t="s">
        <v>10</v>
      </c>
      <c r="B41">
        <v>890</v>
      </c>
      <c r="C41">
        <v>1364</v>
      </c>
      <c r="D41">
        <v>944</v>
      </c>
      <c r="E41">
        <v>1023</v>
      </c>
      <c r="F41">
        <v>865</v>
      </c>
      <c r="G41">
        <v>609</v>
      </c>
      <c r="H41">
        <v>804</v>
      </c>
      <c r="I41">
        <v>975</v>
      </c>
      <c r="J41">
        <v>676</v>
      </c>
      <c r="K41">
        <v>638</v>
      </c>
      <c r="L41">
        <v>635</v>
      </c>
      <c r="M41">
        <v>809</v>
      </c>
      <c r="N41">
        <v>581</v>
      </c>
      <c r="O41">
        <v>441</v>
      </c>
      <c r="P41">
        <v>403</v>
      </c>
      <c r="Q41">
        <v>369</v>
      </c>
      <c r="R41">
        <v>236</v>
      </c>
      <c r="S41">
        <v>295</v>
      </c>
      <c r="T41">
        <v>271</v>
      </c>
      <c r="V41" s="4">
        <v>40</v>
      </c>
      <c r="W41" s="4">
        <v>24</v>
      </c>
      <c r="X41" s="5"/>
      <c r="Y41" s="4"/>
      <c r="Z41" s="4"/>
    </row>
    <row r="42" spans="1:26" x14ac:dyDescent="0.3">
      <c r="A42" s="9" t="s">
        <v>14</v>
      </c>
      <c r="B42">
        <v>865</v>
      </c>
      <c r="C42">
        <v>1321</v>
      </c>
      <c r="D42">
        <v>915</v>
      </c>
      <c r="E42">
        <v>1038</v>
      </c>
      <c r="F42">
        <v>791</v>
      </c>
      <c r="G42">
        <v>626</v>
      </c>
      <c r="H42">
        <v>806</v>
      </c>
      <c r="I42">
        <v>892</v>
      </c>
      <c r="J42">
        <v>647</v>
      </c>
      <c r="K42">
        <v>659</v>
      </c>
      <c r="L42">
        <v>626</v>
      </c>
      <c r="M42">
        <v>872</v>
      </c>
      <c r="N42">
        <v>529</v>
      </c>
      <c r="O42">
        <v>424</v>
      </c>
      <c r="P42">
        <v>424</v>
      </c>
      <c r="Q42">
        <v>312</v>
      </c>
      <c r="R42">
        <v>229</v>
      </c>
      <c r="S42">
        <v>326</v>
      </c>
      <c r="T42">
        <v>240</v>
      </c>
      <c r="V42" s="4">
        <v>41</v>
      </c>
      <c r="W42" s="4">
        <v>25</v>
      </c>
      <c r="X42" s="5"/>
      <c r="Y42" s="4"/>
      <c r="Z42" s="4"/>
    </row>
    <row r="43" spans="1:26" x14ac:dyDescent="0.3">
      <c r="A43" s="9" t="s">
        <v>18</v>
      </c>
      <c r="B43">
        <v>812</v>
      </c>
      <c r="C43">
        <v>1239</v>
      </c>
      <c r="D43">
        <v>864</v>
      </c>
      <c r="E43">
        <v>970</v>
      </c>
      <c r="F43">
        <v>732</v>
      </c>
      <c r="G43">
        <v>527</v>
      </c>
      <c r="H43">
        <v>745</v>
      </c>
      <c r="I43">
        <v>927</v>
      </c>
      <c r="J43">
        <v>598</v>
      </c>
      <c r="K43">
        <v>578</v>
      </c>
      <c r="L43">
        <v>541</v>
      </c>
      <c r="M43">
        <v>757</v>
      </c>
      <c r="N43">
        <v>521</v>
      </c>
      <c r="O43">
        <v>393</v>
      </c>
      <c r="P43">
        <v>365</v>
      </c>
      <c r="Q43">
        <v>308</v>
      </c>
      <c r="R43">
        <v>210</v>
      </c>
      <c r="S43">
        <v>280</v>
      </c>
      <c r="T43">
        <v>252</v>
      </c>
      <c r="V43" s="4">
        <v>42</v>
      </c>
      <c r="W43" s="4">
        <v>18</v>
      </c>
      <c r="X43" s="5"/>
      <c r="Y43" s="4"/>
      <c r="Z43" s="4"/>
    </row>
    <row r="44" spans="1:26" x14ac:dyDescent="0.3">
      <c r="A44" s="9" t="s">
        <v>22</v>
      </c>
      <c r="B44">
        <v>790</v>
      </c>
      <c r="C44">
        <v>1199</v>
      </c>
      <c r="D44">
        <v>863</v>
      </c>
      <c r="E44">
        <v>912</v>
      </c>
      <c r="F44">
        <v>749</v>
      </c>
      <c r="G44">
        <v>565</v>
      </c>
      <c r="H44">
        <v>724</v>
      </c>
      <c r="I44">
        <v>771</v>
      </c>
      <c r="J44">
        <v>578</v>
      </c>
      <c r="K44">
        <v>578</v>
      </c>
      <c r="L44">
        <v>504</v>
      </c>
      <c r="M44">
        <v>706</v>
      </c>
      <c r="N44">
        <v>515</v>
      </c>
      <c r="O44">
        <v>404</v>
      </c>
      <c r="P44">
        <v>366</v>
      </c>
      <c r="Q44">
        <v>352</v>
      </c>
      <c r="R44">
        <v>207</v>
      </c>
      <c r="S44">
        <v>291</v>
      </c>
      <c r="T44">
        <v>247</v>
      </c>
      <c r="V44" s="4">
        <v>43</v>
      </c>
      <c r="W44" s="4">
        <v>16</v>
      </c>
      <c r="X44" s="5"/>
      <c r="Y44" s="4"/>
      <c r="Z44" s="4"/>
    </row>
    <row r="45" spans="1:26" x14ac:dyDescent="0.3">
      <c r="A45" s="9" t="s">
        <v>25</v>
      </c>
      <c r="B45">
        <v>655</v>
      </c>
      <c r="C45">
        <v>915</v>
      </c>
      <c r="D45">
        <v>660</v>
      </c>
      <c r="E45">
        <v>695</v>
      </c>
      <c r="F45">
        <v>555</v>
      </c>
      <c r="G45">
        <v>388</v>
      </c>
      <c r="H45">
        <v>600</v>
      </c>
      <c r="I45">
        <v>651</v>
      </c>
      <c r="J45">
        <v>452</v>
      </c>
      <c r="K45">
        <v>475</v>
      </c>
      <c r="L45">
        <v>443</v>
      </c>
      <c r="M45">
        <v>591</v>
      </c>
      <c r="N45">
        <v>357</v>
      </c>
      <c r="O45">
        <v>423</v>
      </c>
      <c r="P45">
        <v>320</v>
      </c>
      <c r="Q45">
        <v>244</v>
      </c>
      <c r="R45">
        <v>181</v>
      </c>
      <c r="S45">
        <v>267</v>
      </c>
      <c r="T45">
        <v>224</v>
      </c>
      <c r="V45" s="4">
        <v>44</v>
      </c>
      <c r="W45" s="4">
        <v>15</v>
      </c>
      <c r="X45" s="5"/>
      <c r="Y45" s="4"/>
      <c r="Z45" s="4"/>
    </row>
    <row r="46" spans="1:26" x14ac:dyDescent="0.3">
      <c r="A46" s="9" t="s">
        <v>28</v>
      </c>
      <c r="B46">
        <v>731</v>
      </c>
      <c r="C46">
        <v>1052</v>
      </c>
      <c r="D46">
        <v>802</v>
      </c>
      <c r="E46">
        <v>819</v>
      </c>
      <c r="F46">
        <v>641</v>
      </c>
      <c r="G46">
        <v>492</v>
      </c>
      <c r="H46">
        <v>689</v>
      </c>
      <c r="I46">
        <v>767</v>
      </c>
      <c r="J46">
        <v>557</v>
      </c>
      <c r="K46">
        <v>508</v>
      </c>
      <c r="L46">
        <v>476</v>
      </c>
      <c r="M46">
        <v>692</v>
      </c>
      <c r="N46">
        <v>471</v>
      </c>
      <c r="O46">
        <v>418</v>
      </c>
      <c r="P46">
        <v>351</v>
      </c>
      <c r="Q46">
        <v>264</v>
      </c>
      <c r="R46">
        <v>194</v>
      </c>
      <c r="S46">
        <v>266</v>
      </c>
      <c r="T46">
        <v>224</v>
      </c>
      <c r="V46" s="4">
        <v>45</v>
      </c>
      <c r="W46" s="4">
        <v>13</v>
      </c>
      <c r="X46" s="5"/>
      <c r="Y46" s="4"/>
      <c r="Z46" s="4"/>
    </row>
    <row r="47" spans="1:26" x14ac:dyDescent="0.3">
      <c r="A47" s="9" t="s">
        <v>30</v>
      </c>
      <c r="B47">
        <v>721</v>
      </c>
      <c r="C47">
        <v>1107</v>
      </c>
      <c r="D47">
        <v>779</v>
      </c>
      <c r="E47">
        <v>899</v>
      </c>
      <c r="F47">
        <v>702</v>
      </c>
      <c r="G47">
        <v>530</v>
      </c>
      <c r="H47">
        <v>611</v>
      </c>
      <c r="I47">
        <v>780</v>
      </c>
      <c r="J47">
        <v>519</v>
      </c>
      <c r="K47">
        <v>530</v>
      </c>
      <c r="L47">
        <v>585</v>
      </c>
      <c r="M47">
        <v>643</v>
      </c>
      <c r="N47">
        <v>440</v>
      </c>
      <c r="O47">
        <v>358</v>
      </c>
      <c r="P47">
        <v>337</v>
      </c>
      <c r="Q47">
        <v>255</v>
      </c>
      <c r="R47">
        <v>166</v>
      </c>
      <c r="S47">
        <v>260</v>
      </c>
      <c r="T47">
        <v>159</v>
      </c>
      <c r="V47" s="4">
        <v>46</v>
      </c>
      <c r="W47" s="4">
        <v>22</v>
      </c>
      <c r="X47" s="5"/>
      <c r="Y47" s="4"/>
      <c r="Z47" s="4"/>
    </row>
    <row r="48" spans="1:26" x14ac:dyDescent="0.3">
      <c r="A48" s="9" t="s">
        <v>33</v>
      </c>
      <c r="B48">
        <v>745</v>
      </c>
      <c r="C48">
        <v>1148</v>
      </c>
      <c r="D48">
        <v>744</v>
      </c>
      <c r="E48">
        <v>866</v>
      </c>
      <c r="F48">
        <v>690</v>
      </c>
      <c r="G48">
        <v>510</v>
      </c>
      <c r="H48">
        <v>645</v>
      </c>
      <c r="I48">
        <v>834</v>
      </c>
      <c r="J48">
        <v>543</v>
      </c>
      <c r="K48">
        <v>571</v>
      </c>
      <c r="L48">
        <v>504</v>
      </c>
      <c r="M48">
        <v>716</v>
      </c>
      <c r="N48">
        <v>500</v>
      </c>
      <c r="O48">
        <v>380</v>
      </c>
      <c r="P48">
        <v>338</v>
      </c>
      <c r="Q48">
        <v>327</v>
      </c>
      <c r="R48">
        <v>203</v>
      </c>
      <c r="S48">
        <v>247</v>
      </c>
      <c r="T48">
        <v>259</v>
      </c>
      <c r="V48" s="4">
        <v>47</v>
      </c>
      <c r="W48" s="4">
        <v>15</v>
      </c>
      <c r="X48" s="5"/>
      <c r="Y48" s="4"/>
      <c r="Z48" s="4"/>
    </row>
    <row r="49" spans="1:26" x14ac:dyDescent="0.3">
      <c r="A49" s="9" t="s">
        <v>38</v>
      </c>
      <c r="B49">
        <v>423</v>
      </c>
      <c r="C49">
        <v>816</v>
      </c>
      <c r="D49">
        <v>471</v>
      </c>
      <c r="E49">
        <v>512</v>
      </c>
      <c r="F49">
        <v>453</v>
      </c>
      <c r="G49">
        <v>282</v>
      </c>
      <c r="H49">
        <v>395</v>
      </c>
      <c r="I49">
        <v>708</v>
      </c>
      <c r="J49">
        <v>319</v>
      </c>
      <c r="K49">
        <v>329</v>
      </c>
      <c r="L49">
        <v>312</v>
      </c>
      <c r="M49">
        <v>443</v>
      </c>
      <c r="N49">
        <v>252</v>
      </c>
      <c r="O49">
        <v>214</v>
      </c>
      <c r="P49">
        <v>182</v>
      </c>
      <c r="Q49">
        <v>174</v>
      </c>
      <c r="R49">
        <v>112</v>
      </c>
      <c r="S49">
        <v>154</v>
      </c>
      <c r="T49">
        <v>154</v>
      </c>
      <c r="V49" s="4">
        <v>48</v>
      </c>
      <c r="W49" s="4">
        <v>8</v>
      </c>
      <c r="X49" s="5"/>
      <c r="Y49" s="4"/>
      <c r="Z49" s="4"/>
    </row>
    <row r="50" spans="1:26" x14ac:dyDescent="0.3">
      <c r="A50" s="9" t="s">
        <v>41</v>
      </c>
      <c r="B50">
        <v>359</v>
      </c>
      <c r="C50">
        <v>684</v>
      </c>
      <c r="D50">
        <v>393</v>
      </c>
      <c r="E50">
        <v>392</v>
      </c>
      <c r="F50">
        <v>361</v>
      </c>
      <c r="G50">
        <v>228</v>
      </c>
      <c r="H50">
        <v>321</v>
      </c>
      <c r="I50">
        <v>615</v>
      </c>
      <c r="J50">
        <v>255</v>
      </c>
      <c r="K50">
        <v>280</v>
      </c>
      <c r="L50">
        <v>243</v>
      </c>
      <c r="M50">
        <v>376</v>
      </c>
      <c r="N50">
        <v>181</v>
      </c>
      <c r="O50">
        <v>166</v>
      </c>
      <c r="P50">
        <v>161</v>
      </c>
      <c r="Q50">
        <v>150</v>
      </c>
      <c r="R50">
        <v>86</v>
      </c>
      <c r="S50">
        <v>123</v>
      </c>
      <c r="T50">
        <v>123</v>
      </c>
      <c r="V50" s="4">
        <v>49</v>
      </c>
      <c r="W50" s="4">
        <v>8</v>
      </c>
      <c r="X50" s="5"/>
      <c r="Y50" s="4"/>
      <c r="Z50" s="4"/>
    </row>
    <row r="51" spans="1:26" x14ac:dyDescent="0.3">
      <c r="V51" s="4">
        <v>50</v>
      </c>
      <c r="W51" s="4">
        <v>21</v>
      </c>
      <c r="X51" s="5"/>
      <c r="Y51" s="4"/>
      <c r="Z51" s="4"/>
    </row>
    <row r="52" spans="1:26" x14ac:dyDescent="0.3">
      <c r="A52" s="9" t="s">
        <v>57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V52" s="4">
        <v>51</v>
      </c>
      <c r="W52" s="4">
        <v>15</v>
      </c>
      <c r="X52" s="5"/>
      <c r="Y52" s="4"/>
      <c r="Z52" s="4"/>
    </row>
    <row r="53" spans="1:26" x14ac:dyDescent="0.3">
      <c r="A53" s="9" t="s">
        <v>98</v>
      </c>
      <c r="B53" s="9" t="s">
        <v>58</v>
      </c>
      <c r="C53" s="9" t="s">
        <v>59</v>
      </c>
      <c r="D53" s="9" t="s">
        <v>60</v>
      </c>
      <c r="E53" s="9" t="s">
        <v>61</v>
      </c>
      <c r="F53" s="9" t="s">
        <v>62</v>
      </c>
      <c r="G53" s="9" t="s">
        <v>63</v>
      </c>
      <c r="H53" s="9" t="s">
        <v>64</v>
      </c>
      <c r="I53" s="9" t="s">
        <v>65</v>
      </c>
      <c r="J53" s="9" t="s">
        <v>66</v>
      </c>
      <c r="K53" s="9" t="s">
        <v>67</v>
      </c>
      <c r="L53" s="9" t="s">
        <v>68</v>
      </c>
      <c r="M53" s="9" t="s">
        <v>69</v>
      </c>
      <c r="N53" s="9" t="s">
        <v>70</v>
      </c>
      <c r="O53" s="9" t="s">
        <v>71</v>
      </c>
      <c r="P53" s="9" t="s">
        <v>72</v>
      </c>
      <c r="Q53" s="9" t="s">
        <v>73</v>
      </c>
      <c r="R53" s="9" t="s">
        <v>74</v>
      </c>
      <c r="S53" s="9" t="s">
        <v>75</v>
      </c>
      <c r="T53" s="9" t="s">
        <v>76</v>
      </c>
      <c r="V53" s="4">
        <v>52</v>
      </c>
      <c r="W53" s="4">
        <v>8</v>
      </c>
      <c r="X53" s="5"/>
      <c r="Y53" s="4"/>
      <c r="Z53" s="4"/>
    </row>
    <row r="54" spans="1:26" x14ac:dyDescent="0.3">
      <c r="A54" s="9" t="s">
        <v>10</v>
      </c>
      <c r="B54">
        <f t="shared" ref="B54:T63" si="2">B41/B28</f>
        <v>0.55729492798998126</v>
      </c>
      <c r="C54">
        <f t="shared" si="2"/>
        <v>0.75735702387562465</v>
      </c>
      <c r="D54">
        <f t="shared" si="2"/>
        <v>0.5609031491384433</v>
      </c>
      <c r="E54">
        <f t="shared" si="2"/>
        <v>0.64746835443037976</v>
      </c>
      <c r="F54">
        <f t="shared" si="2"/>
        <v>0.50644028103044492</v>
      </c>
      <c r="G54">
        <f t="shared" si="2"/>
        <v>0.42262317834836921</v>
      </c>
      <c r="H54">
        <f t="shared" si="2"/>
        <v>0.59074210139603234</v>
      </c>
      <c r="I54">
        <f t="shared" si="2"/>
        <v>0.7009345794392523</v>
      </c>
      <c r="J54">
        <f t="shared" si="2"/>
        <v>0.61121157323688968</v>
      </c>
      <c r="K54">
        <f t="shared" si="2"/>
        <v>0.49882720875684128</v>
      </c>
      <c r="L54">
        <f t="shared" si="2"/>
        <v>0.57674841053587644</v>
      </c>
      <c r="M54">
        <f t="shared" si="2"/>
        <v>0.64875701684041698</v>
      </c>
      <c r="N54">
        <f t="shared" si="2"/>
        <v>0.55333333333333334</v>
      </c>
      <c r="O54">
        <f t="shared" si="2"/>
        <v>0.42200956937799045</v>
      </c>
      <c r="P54">
        <f t="shared" si="2"/>
        <v>0.45230078563411896</v>
      </c>
      <c r="Q54">
        <f t="shared" si="2"/>
        <v>0.49864864864864866</v>
      </c>
      <c r="R54">
        <f t="shared" si="2"/>
        <v>0.34756995581737848</v>
      </c>
      <c r="S54">
        <f t="shared" si="2"/>
        <v>0.36151960784313725</v>
      </c>
      <c r="T54">
        <f t="shared" si="2"/>
        <v>0.41564417177914109</v>
      </c>
      <c r="V54" s="4">
        <v>53</v>
      </c>
      <c r="W54" s="4">
        <v>5</v>
      </c>
      <c r="X54" s="5"/>
      <c r="Y54" s="4"/>
      <c r="Z54" s="4"/>
    </row>
    <row r="55" spans="1:26" x14ac:dyDescent="0.3">
      <c r="A55" s="9" t="s">
        <v>14</v>
      </c>
      <c r="B55">
        <f t="shared" si="2"/>
        <v>0.57666666666666666</v>
      </c>
      <c r="C55">
        <f t="shared" si="2"/>
        <v>0.78959952181709503</v>
      </c>
      <c r="D55">
        <f t="shared" si="2"/>
        <v>0.60878243512974051</v>
      </c>
      <c r="E55">
        <f t="shared" si="2"/>
        <v>0.70998632010943907</v>
      </c>
      <c r="F55">
        <f t="shared" si="2"/>
        <v>0.5031806615776081</v>
      </c>
      <c r="G55">
        <f t="shared" si="2"/>
        <v>0.47713414634146339</v>
      </c>
      <c r="H55">
        <f t="shared" si="2"/>
        <v>0.62432223082881488</v>
      </c>
      <c r="I55">
        <f t="shared" si="2"/>
        <v>0.70681458003169573</v>
      </c>
      <c r="J55">
        <f t="shared" si="2"/>
        <v>0.65552178318135768</v>
      </c>
      <c r="K55">
        <f t="shared" si="2"/>
        <v>0.52677857713828935</v>
      </c>
      <c r="L55">
        <f t="shared" si="2"/>
        <v>0.61312438785504408</v>
      </c>
      <c r="M55">
        <f t="shared" si="2"/>
        <v>0.76693051890941077</v>
      </c>
      <c r="N55">
        <f t="shared" si="2"/>
        <v>0.57499999999999996</v>
      </c>
      <c r="O55">
        <f t="shared" si="2"/>
        <v>0.41045498547918685</v>
      </c>
      <c r="P55">
        <f t="shared" si="2"/>
        <v>0.51770451770451775</v>
      </c>
      <c r="Q55">
        <f t="shared" si="2"/>
        <v>0.52613827993254636</v>
      </c>
      <c r="R55">
        <f t="shared" si="2"/>
        <v>0.37296416938110749</v>
      </c>
      <c r="S55">
        <f t="shared" si="2"/>
        <v>0.37687861271676298</v>
      </c>
      <c r="T55">
        <f t="shared" si="2"/>
        <v>0.46065259117082535</v>
      </c>
      <c r="V55" s="4">
        <v>54</v>
      </c>
      <c r="W55" s="4">
        <v>13</v>
      </c>
      <c r="X55" s="5"/>
      <c r="Y55" s="4"/>
      <c r="Z55" s="4"/>
    </row>
    <row r="56" spans="1:26" x14ac:dyDescent="0.3">
      <c r="A56" s="9" t="s">
        <v>18</v>
      </c>
      <c r="B56">
        <f t="shared" si="2"/>
        <v>0.51951375559820856</v>
      </c>
      <c r="C56">
        <f t="shared" si="2"/>
        <v>0.71701388888888884</v>
      </c>
      <c r="D56">
        <f t="shared" si="2"/>
        <v>0.56176853055916776</v>
      </c>
      <c r="E56">
        <f t="shared" si="2"/>
        <v>0.64494680851063835</v>
      </c>
      <c r="F56">
        <f t="shared" si="2"/>
        <v>0.44634146341463415</v>
      </c>
      <c r="G56">
        <f t="shared" si="2"/>
        <v>0.38105567606652208</v>
      </c>
      <c r="H56">
        <f t="shared" si="2"/>
        <v>0.57484567901234573</v>
      </c>
      <c r="I56">
        <f t="shared" si="2"/>
        <v>0.71088957055214719</v>
      </c>
      <c r="J56">
        <f t="shared" si="2"/>
        <v>0.58974358974358976</v>
      </c>
      <c r="K56">
        <f t="shared" si="2"/>
        <v>0.47145187601957583</v>
      </c>
      <c r="L56">
        <f t="shared" si="2"/>
        <v>0.50893697083725309</v>
      </c>
      <c r="M56">
        <f t="shared" si="2"/>
        <v>0.66345311130587203</v>
      </c>
      <c r="N56">
        <f t="shared" si="2"/>
        <v>0.4824074074074074</v>
      </c>
      <c r="O56">
        <f t="shared" si="2"/>
        <v>0.38910891089108912</v>
      </c>
      <c r="P56">
        <f t="shared" si="2"/>
        <v>0.45568039950062422</v>
      </c>
      <c r="Q56">
        <f t="shared" si="2"/>
        <v>0.43626062322946174</v>
      </c>
      <c r="R56">
        <f t="shared" si="2"/>
        <v>0.32110091743119268</v>
      </c>
      <c r="S56">
        <f t="shared" si="2"/>
        <v>0.33775633293124246</v>
      </c>
      <c r="T56">
        <f t="shared" si="2"/>
        <v>0.3888888888888889</v>
      </c>
      <c r="V56" s="4">
        <v>55</v>
      </c>
      <c r="W56" s="4">
        <v>8</v>
      </c>
      <c r="X56" s="5"/>
      <c r="Y56" s="4"/>
      <c r="Z56" s="4"/>
    </row>
    <row r="57" spans="1:26" x14ac:dyDescent="0.3">
      <c r="A57" s="9" t="s">
        <v>22</v>
      </c>
      <c r="B57">
        <f t="shared" si="2"/>
        <v>0.48525798525798525</v>
      </c>
      <c r="C57">
        <f t="shared" si="2"/>
        <v>0.64810810810810815</v>
      </c>
      <c r="D57">
        <f t="shared" si="2"/>
        <v>0.51522388059701496</v>
      </c>
      <c r="E57">
        <f t="shared" si="2"/>
        <v>0.56893325015595753</v>
      </c>
      <c r="F57">
        <f t="shared" si="2"/>
        <v>0.44319526627218936</v>
      </c>
      <c r="G57">
        <f t="shared" si="2"/>
        <v>0.3751660026560425</v>
      </c>
      <c r="H57">
        <f t="shared" si="2"/>
        <v>0.51238499646142954</v>
      </c>
      <c r="I57">
        <f t="shared" si="2"/>
        <v>0.54719659332860182</v>
      </c>
      <c r="J57">
        <f t="shared" si="2"/>
        <v>0.53617810760667906</v>
      </c>
      <c r="K57">
        <f t="shared" si="2"/>
        <v>0.43524096385542171</v>
      </c>
      <c r="L57">
        <f t="shared" si="2"/>
        <v>0.45080500894454384</v>
      </c>
      <c r="M57">
        <f t="shared" si="2"/>
        <v>0.567524115755627</v>
      </c>
      <c r="N57">
        <f t="shared" si="2"/>
        <v>0.4669084315503173</v>
      </c>
      <c r="O57">
        <f t="shared" si="2"/>
        <v>0.35975066785396259</v>
      </c>
      <c r="P57">
        <f t="shared" si="2"/>
        <v>0.40441988950276242</v>
      </c>
      <c r="Q57">
        <f t="shared" si="2"/>
        <v>0.42460796139927626</v>
      </c>
      <c r="R57">
        <f t="shared" si="2"/>
        <v>0.28434065934065933</v>
      </c>
      <c r="S57">
        <f t="shared" si="2"/>
        <v>0.32369299221357062</v>
      </c>
      <c r="T57">
        <f t="shared" si="2"/>
        <v>0.36270190895741555</v>
      </c>
      <c r="V57" s="4">
        <v>56</v>
      </c>
      <c r="W57" s="4">
        <v>2</v>
      </c>
      <c r="X57" s="5"/>
      <c r="Y57" s="4"/>
      <c r="Z57" s="4"/>
    </row>
    <row r="58" spans="1:26" x14ac:dyDescent="0.3">
      <c r="A58" s="9" t="s">
        <v>25</v>
      </c>
      <c r="B58">
        <f t="shared" si="2"/>
        <v>0.5622317596566524</v>
      </c>
      <c r="C58">
        <f t="shared" si="2"/>
        <v>0.71261682242990654</v>
      </c>
      <c r="D58">
        <f t="shared" si="2"/>
        <v>0.58047493403693928</v>
      </c>
      <c r="E58">
        <f t="shared" si="2"/>
        <v>0.64953271028037385</v>
      </c>
      <c r="F58">
        <f t="shared" si="2"/>
        <v>0.45566502463054187</v>
      </c>
      <c r="G58">
        <f t="shared" si="2"/>
        <v>0.38568588469184889</v>
      </c>
      <c r="H58">
        <f t="shared" si="2"/>
        <v>0.61791967044284246</v>
      </c>
      <c r="I58">
        <f t="shared" si="2"/>
        <v>0.66975308641975306</v>
      </c>
      <c r="J58">
        <f t="shared" si="2"/>
        <v>0.57874519846350836</v>
      </c>
      <c r="K58">
        <f t="shared" si="2"/>
        <v>0.49790356394129981</v>
      </c>
      <c r="L58">
        <f t="shared" si="2"/>
        <v>0.62482369534555715</v>
      </c>
      <c r="M58">
        <f t="shared" si="2"/>
        <v>0.72337821297429616</v>
      </c>
      <c r="N58">
        <f t="shared" si="2"/>
        <v>0.49930069930069931</v>
      </c>
      <c r="O58">
        <f t="shared" si="2"/>
        <v>0.56399999999999995</v>
      </c>
      <c r="P58">
        <f t="shared" si="2"/>
        <v>0.48120300751879697</v>
      </c>
      <c r="Q58">
        <f t="shared" si="2"/>
        <v>0.46743295019157088</v>
      </c>
      <c r="R58">
        <f t="shared" si="2"/>
        <v>0.388412017167382</v>
      </c>
      <c r="S58">
        <f t="shared" si="2"/>
        <v>0.4204724409448819</v>
      </c>
      <c r="T58">
        <f t="shared" si="2"/>
        <v>0.49888641425389757</v>
      </c>
      <c r="V58" s="4">
        <v>57</v>
      </c>
      <c r="W58" s="4">
        <v>8</v>
      </c>
      <c r="X58" s="5"/>
      <c r="Y58" s="4"/>
      <c r="Z58" s="4"/>
    </row>
    <row r="59" spans="1:26" x14ac:dyDescent="0.3">
      <c r="A59" s="9" t="s">
        <v>28</v>
      </c>
      <c r="B59">
        <f t="shared" si="2"/>
        <v>0.48092105263157897</v>
      </c>
      <c r="C59">
        <f t="shared" si="2"/>
        <v>0.62805970149253731</v>
      </c>
      <c r="D59">
        <f t="shared" si="2"/>
        <v>0.52179570592062463</v>
      </c>
      <c r="E59">
        <f t="shared" si="2"/>
        <v>0.60264900662251653</v>
      </c>
      <c r="F59">
        <f t="shared" si="2"/>
        <v>0.42005242463958059</v>
      </c>
      <c r="G59">
        <f t="shared" si="2"/>
        <v>0.38985736925515058</v>
      </c>
      <c r="H59">
        <f t="shared" si="2"/>
        <v>0.55031948881789139</v>
      </c>
      <c r="I59">
        <f t="shared" si="2"/>
        <v>0.58106060606060606</v>
      </c>
      <c r="J59">
        <f t="shared" si="2"/>
        <v>0.5701125895598772</v>
      </c>
      <c r="K59">
        <f t="shared" si="2"/>
        <v>0.42018196856906537</v>
      </c>
      <c r="L59">
        <f t="shared" si="2"/>
        <v>0.49377593360995853</v>
      </c>
      <c r="M59">
        <f t="shared" si="2"/>
        <v>0.61293179805137288</v>
      </c>
      <c r="N59">
        <f t="shared" si="2"/>
        <v>0.47865853658536583</v>
      </c>
      <c r="O59">
        <f t="shared" si="2"/>
        <v>0.42010050251256281</v>
      </c>
      <c r="P59">
        <f t="shared" si="2"/>
        <v>0.45115681233933164</v>
      </c>
      <c r="Q59">
        <f t="shared" si="2"/>
        <v>0.38938053097345132</v>
      </c>
      <c r="R59">
        <f t="shared" si="2"/>
        <v>0.30359937402190923</v>
      </c>
      <c r="S59">
        <f t="shared" si="2"/>
        <v>0.34278350515463918</v>
      </c>
      <c r="T59">
        <f t="shared" si="2"/>
        <v>0.38421955403087477</v>
      </c>
      <c r="V59" s="4">
        <v>58</v>
      </c>
      <c r="W59" s="4">
        <v>5</v>
      </c>
      <c r="X59" s="5"/>
      <c r="Y59" s="4"/>
      <c r="Z59" s="4"/>
    </row>
    <row r="60" spans="1:26" x14ac:dyDescent="0.3">
      <c r="A60" s="9" t="s">
        <v>30</v>
      </c>
      <c r="B60">
        <f t="shared" si="2"/>
        <v>0.52095375722543358</v>
      </c>
      <c r="C60">
        <f t="shared" si="2"/>
        <v>0.73947895791583163</v>
      </c>
      <c r="D60">
        <f t="shared" si="2"/>
        <v>0.57027818448023426</v>
      </c>
      <c r="E60">
        <f t="shared" si="2"/>
        <v>0.66346863468634687</v>
      </c>
      <c r="F60">
        <f t="shared" si="2"/>
        <v>0.46831220813875918</v>
      </c>
      <c r="G60">
        <f t="shared" si="2"/>
        <v>0.45571797076526227</v>
      </c>
      <c r="H60">
        <f t="shared" si="2"/>
        <v>0.52946273830155977</v>
      </c>
      <c r="I60">
        <f t="shared" si="2"/>
        <v>0.65656565656565657</v>
      </c>
      <c r="J60">
        <f t="shared" si="2"/>
        <v>0.58183856502242148</v>
      </c>
      <c r="K60">
        <f t="shared" si="2"/>
        <v>0.45847750865051901</v>
      </c>
      <c r="L60">
        <f t="shared" si="2"/>
        <v>0.61708860759493667</v>
      </c>
      <c r="M60">
        <f t="shared" si="2"/>
        <v>0.64364364364364368</v>
      </c>
      <c r="N60">
        <f t="shared" si="2"/>
        <v>0.505166475315729</v>
      </c>
      <c r="O60">
        <f t="shared" si="2"/>
        <v>0.40589569160997735</v>
      </c>
      <c r="P60">
        <f t="shared" si="2"/>
        <v>0.45295698924731181</v>
      </c>
      <c r="Q60">
        <f t="shared" si="2"/>
        <v>0.49514563106796117</v>
      </c>
      <c r="R60">
        <f t="shared" si="2"/>
        <v>0.32485322896281799</v>
      </c>
      <c r="S60">
        <f t="shared" si="2"/>
        <v>0.38518518518518519</v>
      </c>
      <c r="T60">
        <f t="shared" si="2"/>
        <v>0.33263598326359833</v>
      </c>
      <c r="V60" s="4">
        <v>59</v>
      </c>
      <c r="W60" s="4">
        <v>6</v>
      </c>
      <c r="X60" s="5"/>
      <c r="Y60" s="4"/>
      <c r="Z60" s="4"/>
    </row>
    <row r="61" spans="1:26" x14ac:dyDescent="0.3">
      <c r="A61" s="9" t="s">
        <v>33</v>
      </c>
      <c r="B61">
        <f t="shared" si="2"/>
        <v>0.4520631067961165</v>
      </c>
      <c r="C61">
        <f t="shared" si="2"/>
        <v>0.63320463320463316</v>
      </c>
      <c r="D61">
        <f t="shared" si="2"/>
        <v>0.43816254416961131</v>
      </c>
      <c r="E61">
        <f t="shared" si="2"/>
        <v>0.54706253948199624</v>
      </c>
      <c r="F61">
        <f t="shared" si="2"/>
        <v>0.41144901610017887</v>
      </c>
      <c r="G61">
        <f t="shared" si="2"/>
        <v>0.34764826175869118</v>
      </c>
      <c r="H61">
        <f t="shared" si="2"/>
        <v>0.47218155197657397</v>
      </c>
      <c r="I61">
        <f t="shared" si="2"/>
        <v>0.58898305084745761</v>
      </c>
      <c r="J61">
        <f t="shared" si="2"/>
        <v>0.50046082949308757</v>
      </c>
      <c r="K61">
        <f t="shared" si="2"/>
        <v>0.43521341463414637</v>
      </c>
      <c r="L61">
        <f t="shared" si="2"/>
        <v>0.43523316062176165</v>
      </c>
      <c r="M61">
        <f t="shared" si="2"/>
        <v>0.58069748580697489</v>
      </c>
      <c r="N61">
        <f t="shared" si="2"/>
        <v>0.44843049327354262</v>
      </c>
      <c r="O61">
        <f t="shared" si="2"/>
        <v>0.3538175046554935</v>
      </c>
      <c r="P61">
        <f t="shared" si="2"/>
        <v>0.3650107991360691</v>
      </c>
      <c r="Q61">
        <f t="shared" si="2"/>
        <v>0.43775100401606426</v>
      </c>
      <c r="R61">
        <f t="shared" si="2"/>
        <v>0.28351955307262572</v>
      </c>
      <c r="S61">
        <f t="shared" si="2"/>
        <v>0.29093050647820967</v>
      </c>
      <c r="T61">
        <f t="shared" si="2"/>
        <v>0.38313609467455623</v>
      </c>
      <c r="V61" s="4">
        <v>60</v>
      </c>
      <c r="W61" s="4">
        <v>6</v>
      </c>
      <c r="X61" s="5"/>
      <c r="Y61" s="4"/>
      <c r="Z61" s="4"/>
    </row>
    <row r="62" spans="1:26" x14ac:dyDescent="0.3">
      <c r="A62" s="9" t="s">
        <v>38</v>
      </c>
      <c r="B62">
        <f t="shared" si="2"/>
        <v>0.3746678476527901</v>
      </c>
      <c r="C62">
        <f t="shared" si="2"/>
        <v>0.63403263403263399</v>
      </c>
      <c r="D62">
        <f t="shared" si="2"/>
        <v>0.4262443438914027</v>
      </c>
      <c r="E62">
        <f t="shared" si="2"/>
        <v>0.48165569143932269</v>
      </c>
      <c r="F62">
        <f t="shared" si="2"/>
        <v>0.36949429037520393</v>
      </c>
      <c r="G62">
        <f t="shared" si="2"/>
        <v>0.28923076923076924</v>
      </c>
      <c r="H62">
        <f t="shared" si="2"/>
        <v>0.43743078626799559</v>
      </c>
      <c r="I62">
        <f t="shared" si="2"/>
        <v>0.75479744136460558</v>
      </c>
      <c r="J62">
        <f t="shared" si="2"/>
        <v>0.43224932249322495</v>
      </c>
      <c r="K62">
        <f t="shared" si="2"/>
        <v>0.35683297180043383</v>
      </c>
      <c r="L62">
        <f t="shared" si="2"/>
        <v>0.40154440154440152</v>
      </c>
      <c r="M62">
        <f t="shared" si="2"/>
        <v>0.53696969696969699</v>
      </c>
      <c r="N62">
        <f t="shared" si="2"/>
        <v>0.34379263301500684</v>
      </c>
      <c r="O62">
        <f t="shared" si="2"/>
        <v>0.30791366906474821</v>
      </c>
      <c r="P62">
        <f t="shared" si="2"/>
        <v>0.30333333333333334</v>
      </c>
      <c r="Q62">
        <f t="shared" si="2"/>
        <v>0.39635535307517084</v>
      </c>
      <c r="R62">
        <f t="shared" si="2"/>
        <v>0.28644501278772377</v>
      </c>
      <c r="S62">
        <f t="shared" si="2"/>
        <v>0.27402135231316727</v>
      </c>
      <c r="T62">
        <f t="shared" si="2"/>
        <v>0.38693467336683418</v>
      </c>
      <c r="V62" s="4">
        <v>61</v>
      </c>
      <c r="W62" s="4">
        <v>1</v>
      </c>
      <c r="X62" s="5"/>
      <c r="Y62" s="4"/>
      <c r="Z62" s="4"/>
    </row>
    <row r="63" spans="1:26" x14ac:dyDescent="0.3">
      <c r="A63" s="9" t="s">
        <v>41</v>
      </c>
      <c r="B63">
        <f t="shared" si="2"/>
        <v>0.39064200217627859</v>
      </c>
      <c r="C63">
        <f t="shared" si="2"/>
        <v>0.64772727272727271</v>
      </c>
      <c r="D63">
        <f t="shared" si="2"/>
        <v>0.44863013698630139</v>
      </c>
      <c r="E63">
        <f t="shared" si="2"/>
        <v>0.44545454545454544</v>
      </c>
      <c r="F63">
        <f t="shared" si="2"/>
        <v>0.38858988159311086</v>
      </c>
      <c r="G63">
        <f t="shared" si="2"/>
        <v>0.29882044560943644</v>
      </c>
      <c r="H63">
        <f t="shared" si="2"/>
        <v>0.46793002915451892</v>
      </c>
      <c r="I63">
        <f t="shared" si="2"/>
        <v>0.81781914893617025</v>
      </c>
      <c r="J63">
        <f t="shared" si="2"/>
        <v>0.42358803986710963</v>
      </c>
      <c r="K63">
        <f t="shared" si="2"/>
        <v>0.38514442916093533</v>
      </c>
      <c r="L63">
        <f t="shared" si="2"/>
        <v>0.41116751269035534</v>
      </c>
      <c r="M63">
        <f t="shared" si="2"/>
        <v>0.54810495626822153</v>
      </c>
      <c r="N63">
        <f t="shared" si="2"/>
        <v>0.34674329501915707</v>
      </c>
      <c r="O63">
        <f t="shared" si="2"/>
        <v>0.31558935361216728</v>
      </c>
      <c r="P63">
        <f t="shared" si="2"/>
        <v>0.34182590233545646</v>
      </c>
      <c r="Q63">
        <f t="shared" si="2"/>
        <v>0.44642857142857145</v>
      </c>
      <c r="R63">
        <f t="shared" si="2"/>
        <v>0.30496453900709219</v>
      </c>
      <c r="S63">
        <f t="shared" si="2"/>
        <v>0.28738317757009346</v>
      </c>
      <c r="T63">
        <f t="shared" si="2"/>
        <v>0.39047619047619048</v>
      </c>
      <c r="V63" s="4">
        <v>62</v>
      </c>
      <c r="W63" s="4">
        <v>8</v>
      </c>
      <c r="X63" s="5"/>
      <c r="Y63" s="4"/>
      <c r="Z63" s="4"/>
    </row>
    <row r="64" spans="1:26" x14ac:dyDescent="0.3">
      <c r="B64" s="10">
        <f>AVERAGE(B54:B63)</f>
        <v>0.49202128616516916</v>
      </c>
      <c r="C64" s="11">
        <f t="shared" ref="C64:T64" si="3">AVERAGE(C54:C63)</f>
        <v>0.69071985644925316</v>
      </c>
      <c r="D64" s="10">
        <f t="shared" si="3"/>
        <v>0.52322638449094805</v>
      </c>
      <c r="E64" s="11">
        <f t="shared" si="3"/>
        <v>0.59611578611715166</v>
      </c>
      <c r="F64" s="12">
        <f t="shared" si="3"/>
        <v>0.44127205177722517</v>
      </c>
      <c r="G64" s="12">
        <f t="shared" si="3"/>
        <v>0.38229397047235558</v>
      </c>
      <c r="H64" s="10">
        <f t="shared" si="3"/>
        <v>0.53775392726600035</v>
      </c>
      <c r="I64" s="11">
        <f t="shared" si="3"/>
        <v>0.6734814313545946</v>
      </c>
      <c r="J64" s="10">
        <f t="shared" si="3"/>
        <v>0.54796495986677451</v>
      </c>
      <c r="K64" s="12">
        <f t="shared" si="3"/>
        <v>0.4486052482526528</v>
      </c>
      <c r="L64" s="10">
        <f t="shared" si="3"/>
        <v>0.51332480895796873</v>
      </c>
      <c r="M64" s="11">
        <f>AVERAGE(M54:M63)</f>
        <v>0.62923905565255323</v>
      </c>
      <c r="N64" s="10">
        <f t="shared" si="3"/>
        <v>0.46997413048005587</v>
      </c>
      <c r="O64" s="12">
        <f t="shared" si="3"/>
        <v>0.39486408550571783</v>
      </c>
      <c r="P64" s="12">
        <f t="shared" si="3"/>
        <v>0.42255924362523223</v>
      </c>
      <c r="Q64" s="12">
        <f t="shared" si="3"/>
        <v>0.45181495539627231</v>
      </c>
      <c r="R64" s="12">
        <f t="shared" si="3"/>
        <v>0.32177694269898888</v>
      </c>
      <c r="S64" s="12">
        <f t="shared" si="3"/>
        <v>0.34006237133508899</v>
      </c>
      <c r="T64" s="12">
        <f t="shared" si="3"/>
        <v>0.40041764708622229</v>
      </c>
      <c r="V64" s="4">
        <v>63</v>
      </c>
      <c r="W64" s="4">
        <v>4</v>
      </c>
      <c r="X64" s="5"/>
      <c r="Y64" s="4"/>
      <c r="Z64" s="4"/>
    </row>
    <row r="65" spans="1:26" x14ac:dyDescent="0.3">
      <c r="V65" s="4">
        <v>64</v>
      </c>
      <c r="W65" s="4">
        <v>3</v>
      </c>
      <c r="X65" s="5"/>
      <c r="Y65" s="4"/>
      <c r="Z65" s="4"/>
    </row>
    <row r="66" spans="1:26" x14ac:dyDescent="0.3">
      <c r="A66" s="2" t="s">
        <v>78</v>
      </c>
      <c r="B66" s="2"/>
      <c r="C66" s="2"/>
      <c r="D66" s="2"/>
      <c r="E66" s="2"/>
      <c r="F66" s="2"/>
      <c r="G66" s="2"/>
      <c r="V66" s="4">
        <v>65</v>
      </c>
      <c r="W66" s="4">
        <v>6</v>
      </c>
      <c r="X66" s="5"/>
      <c r="Y66" s="4"/>
      <c r="Z66" s="4"/>
    </row>
    <row r="67" spans="1:26" x14ac:dyDescent="0.3">
      <c r="A67" s="2"/>
      <c r="B67" s="2" t="s">
        <v>46</v>
      </c>
      <c r="C67" s="2" t="s">
        <v>47</v>
      </c>
      <c r="D67" s="2" t="s">
        <v>48</v>
      </c>
      <c r="E67" s="2" t="s">
        <v>49</v>
      </c>
      <c r="F67" s="2" t="s">
        <v>79</v>
      </c>
      <c r="G67" s="2" t="s">
        <v>80</v>
      </c>
      <c r="V67" s="4">
        <v>66</v>
      </c>
      <c r="W67" s="4">
        <v>3</v>
      </c>
      <c r="X67" s="5"/>
      <c r="Y67" s="4"/>
      <c r="Z67" s="4"/>
    </row>
    <row r="68" spans="1:26" x14ac:dyDescent="0.3">
      <c r="A68" s="2" t="s">
        <v>10</v>
      </c>
      <c r="B68" s="2">
        <v>428</v>
      </c>
      <c r="C68" s="2">
        <v>130</v>
      </c>
      <c r="D68" s="2">
        <v>94</v>
      </c>
      <c r="E68" s="2">
        <v>70</v>
      </c>
      <c r="F68" s="2">
        <v>39</v>
      </c>
      <c r="G68" s="2">
        <f>SUM(B68:F68)</f>
        <v>761</v>
      </c>
      <c r="V68" s="4">
        <v>67</v>
      </c>
      <c r="W68" s="4">
        <v>4</v>
      </c>
      <c r="X68" s="5"/>
      <c r="Y68" s="4"/>
      <c r="Z68" s="4"/>
    </row>
    <row r="69" spans="1:26" x14ac:dyDescent="0.3">
      <c r="A69" s="2" t="s">
        <v>14</v>
      </c>
      <c r="B69" s="2">
        <v>641</v>
      </c>
      <c r="C69" s="2">
        <v>160</v>
      </c>
      <c r="D69" s="2">
        <v>129</v>
      </c>
      <c r="E69" s="2">
        <v>107</v>
      </c>
      <c r="F69" s="2">
        <v>45</v>
      </c>
      <c r="G69" s="2">
        <f t="shared" ref="G69:G77" si="4">SUM(B69:F69)</f>
        <v>1082</v>
      </c>
      <c r="V69" s="4">
        <v>68</v>
      </c>
      <c r="W69" s="4">
        <v>5</v>
      </c>
      <c r="X69" s="5"/>
      <c r="Y69" s="4"/>
      <c r="Z69" s="4"/>
    </row>
    <row r="70" spans="1:26" x14ac:dyDescent="0.3">
      <c r="A70" s="2" t="s">
        <v>18</v>
      </c>
      <c r="B70" s="2">
        <v>513</v>
      </c>
      <c r="C70" s="2">
        <v>104</v>
      </c>
      <c r="D70" s="2">
        <v>79</v>
      </c>
      <c r="E70" s="2">
        <v>68</v>
      </c>
      <c r="F70" s="2">
        <v>11</v>
      </c>
      <c r="G70" s="2">
        <f t="shared" si="4"/>
        <v>775</v>
      </c>
      <c r="V70" s="4">
        <v>69</v>
      </c>
      <c r="W70" s="4">
        <v>7</v>
      </c>
      <c r="X70" s="5"/>
      <c r="Y70" s="4"/>
      <c r="Z70" s="4"/>
    </row>
    <row r="71" spans="1:26" x14ac:dyDescent="0.3">
      <c r="A71" s="2" t="s">
        <v>22</v>
      </c>
      <c r="B71" s="2">
        <v>388</v>
      </c>
      <c r="C71" s="2">
        <v>85</v>
      </c>
      <c r="D71" s="2">
        <v>80</v>
      </c>
      <c r="E71" s="2">
        <v>61</v>
      </c>
      <c r="F71" s="2">
        <v>31</v>
      </c>
      <c r="G71" s="2">
        <f t="shared" si="4"/>
        <v>645</v>
      </c>
      <c r="V71" s="4">
        <v>70</v>
      </c>
      <c r="W71" s="4">
        <v>2</v>
      </c>
      <c r="X71" s="5"/>
      <c r="Y71" s="4"/>
      <c r="Z71" s="4"/>
    </row>
    <row r="72" spans="1:26" x14ac:dyDescent="0.3">
      <c r="A72" s="2" t="s">
        <v>25</v>
      </c>
      <c r="B72" s="2">
        <v>211</v>
      </c>
      <c r="C72" s="2">
        <v>36</v>
      </c>
      <c r="D72" s="2">
        <v>42</v>
      </c>
      <c r="E72" s="2">
        <v>19</v>
      </c>
      <c r="F72" s="2">
        <v>14</v>
      </c>
      <c r="G72" s="2">
        <f t="shared" si="4"/>
        <v>322</v>
      </c>
      <c r="V72" s="4">
        <v>71</v>
      </c>
      <c r="W72" s="4">
        <v>3</v>
      </c>
      <c r="X72" s="5"/>
      <c r="Y72" s="4"/>
      <c r="Z72" s="4"/>
    </row>
    <row r="73" spans="1:26" x14ac:dyDescent="0.3">
      <c r="A73" s="2" t="s">
        <v>28</v>
      </c>
      <c r="B73" s="2">
        <v>625</v>
      </c>
      <c r="C73" s="2">
        <v>106</v>
      </c>
      <c r="D73" s="2">
        <v>95</v>
      </c>
      <c r="E73" s="2">
        <v>91</v>
      </c>
      <c r="F73" s="2">
        <v>21</v>
      </c>
      <c r="G73" s="2">
        <f t="shared" si="4"/>
        <v>938</v>
      </c>
      <c r="V73" s="4">
        <v>73</v>
      </c>
      <c r="W73" s="4">
        <v>2</v>
      </c>
      <c r="X73" s="5"/>
      <c r="Y73" s="4"/>
      <c r="Z73" s="4"/>
    </row>
    <row r="74" spans="1:26" x14ac:dyDescent="0.3">
      <c r="A74" s="2" t="s">
        <v>30</v>
      </c>
      <c r="B74" s="2">
        <v>463</v>
      </c>
      <c r="C74" s="2">
        <v>94</v>
      </c>
      <c r="D74" s="2">
        <v>61</v>
      </c>
      <c r="E74" s="2">
        <v>78</v>
      </c>
      <c r="F74" s="2">
        <v>24</v>
      </c>
      <c r="G74" s="2">
        <f t="shared" si="4"/>
        <v>720</v>
      </c>
      <c r="V74" s="4">
        <v>74</v>
      </c>
      <c r="W74" s="4">
        <v>2</v>
      </c>
      <c r="X74" s="5"/>
      <c r="Y74" s="4"/>
      <c r="Z74" s="4"/>
    </row>
    <row r="75" spans="1:26" x14ac:dyDescent="0.3">
      <c r="A75" s="2" t="s">
        <v>33</v>
      </c>
      <c r="B75" s="2">
        <v>332</v>
      </c>
      <c r="C75" s="2">
        <v>96</v>
      </c>
      <c r="D75" s="2">
        <v>49</v>
      </c>
      <c r="E75" s="2">
        <v>49</v>
      </c>
      <c r="F75" s="2">
        <v>7</v>
      </c>
      <c r="G75" s="2">
        <f t="shared" si="4"/>
        <v>533</v>
      </c>
      <c r="V75" s="4">
        <v>75</v>
      </c>
      <c r="W75" s="4">
        <v>3</v>
      </c>
      <c r="X75" s="5"/>
      <c r="Y75" s="4"/>
      <c r="Z75" s="4"/>
    </row>
    <row r="76" spans="1:26" x14ac:dyDescent="0.3">
      <c r="A76" s="2" t="s">
        <v>38</v>
      </c>
      <c r="B76" s="2">
        <v>253</v>
      </c>
      <c r="C76" s="2">
        <v>22</v>
      </c>
      <c r="D76" s="2">
        <v>28</v>
      </c>
      <c r="E76" s="2">
        <v>20</v>
      </c>
      <c r="F76" s="2">
        <v>23</v>
      </c>
      <c r="G76" s="2">
        <f t="shared" si="4"/>
        <v>346</v>
      </c>
      <c r="V76" s="4">
        <v>76</v>
      </c>
      <c r="W76" s="4">
        <v>3</v>
      </c>
      <c r="X76" s="5"/>
      <c r="Y76" s="4"/>
      <c r="Z76" s="4"/>
    </row>
    <row r="77" spans="1:26" x14ac:dyDescent="0.3">
      <c r="A77" s="2" t="s">
        <v>41</v>
      </c>
      <c r="B77" s="2">
        <v>257</v>
      </c>
      <c r="C77" s="2">
        <v>39</v>
      </c>
      <c r="D77" s="2">
        <v>17</v>
      </c>
      <c r="E77" s="2">
        <v>25</v>
      </c>
      <c r="F77" s="2">
        <v>19</v>
      </c>
      <c r="G77" s="2">
        <f t="shared" si="4"/>
        <v>357</v>
      </c>
      <c r="V77" s="4">
        <v>77</v>
      </c>
      <c r="W77" s="4">
        <v>2</v>
      </c>
      <c r="X77" s="5"/>
      <c r="Y77" s="4"/>
      <c r="Z77" s="4"/>
    </row>
    <row r="78" spans="1:26" x14ac:dyDescent="0.3">
      <c r="A78" s="2"/>
      <c r="B78" s="2">
        <f>SUM(B68:B77)</f>
        <v>4111</v>
      </c>
      <c r="C78" s="2">
        <f t="shared" ref="C78:F78" si="5">SUM(C68:C77)</f>
        <v>872</v>
      </c>
      <c r="D78" s="2">
        <f t="shared" si="5"/>
        <v>674</v>
      </c>
      <c r="E78" s="2">
        <f t="shared" si="5"/>
        <v>588</v>
      </c>
      <c r="F78" s="2">
        <f t="shared" si="5"/>
        <v>234</v>
      </c>
      <c r="G78" s="2">
        <f>SUM(G68:G77)</f>
        <v>6479</v>
      </c>
      <c r="V78" s="4">
        <v>78</v>
      </c>
      <c r="W78" s="4">
        <v>1</v>
      </c>
      <c r="X78" s="5"/>
      <c r="Y78" s="4"/>
      <c r="Z78" s="4"/>
    </row>
    <row r="79" spans="1:26" x14ac:dyDescent="0.3">
      <c r="B79" s="13"/>
      <c r="C79" s="13"/>
      <c r="D79" s="13"/>
      <c r="E79" s="13"/>
      <c r="F79" s="13"/>
      <c r="G79" s="14"/>
      <c r="V79" s="4">
        <v>79</v>
      </c>
      <c r="W79" s="4">
        <v>1</v>
      </c>
      <c r="X79" s="5"/>
      <c r="Y79" s="4"/>
      <c r="Z79" s="4"/>
    </row>
    <row r="80" spans="1:26" x14ac:dyDescent="0.3">
      <c r="B80" s="13"/>
      <c r="C80" s="13"/>
      <c r="D80" s="13"/>
      <c r="E80" s="13"/>
      <c r="F80" s="13"/>
      <c r="G80" s="14"/>
      <c r="V80" s="4">
        <v>80</v>
      </c>
      <c r="W80" s="4">
        <v>2</v>
      </c>
      <c r="X80" s="5"/>
      <c r="Y80" s="4"/>
      <c r="Z80" s="4"/>
    </row>
    <row r="81" spans="1:26" x14ac:dyDescent="0.3">
      <c r="B81" s="13"/>
      <c r="C81" s="13"/>
      <c r="D81" s="13"/>
      <c r="E81" s="13"/>
      <c r="F81" s="13"/>
      <c r="G81" s="14"/>
      <c r="V81" s="4">
        <v>81</v>
      </c>
      <c r="W81" s="4">
        <v>2</v>
      </c>
      <c r="X81" s="5"/>
      <c r="Y81" s="4"/>
      <c r="Z81" s="4"/>
    </row>
    <row r="82" spans="1:26" x14ac:dyDescent="0.3">
      <c r="A82" t="s">
        <v>81</v>
      </c>
      <c r="V82" s="4">
        <v>82</v>
      </c>
      <c r="W82" s="4">
        <v>2</v>
      </c>
      <c r="X82" s="5"/>
      <c r="Y82" s="4"/>
      <c r="Z82" s="4"/>
    </row>
    <row r="83" spans="1:26" x14ac:dyDescent="0.3">
      <c r="C83" s="2" t="s">
        <v>10</v>
      </c>
      <c r="D83" s="2" t="s">
        <v>14</v>
      </c>
      <c r="E83" s="2" t="s">
        <v>18</v>
      </c>
      <c r="F83" s="2" t="s">
        <v>22</v>
      </c>
      <c r="G83" s="2" t="s">
        <v>25</v>
      </c>
      <c r="H83" s="2" t="s">
        <v>28</v>
      </c>
      <c r="I83" s="2" t="s">
        <v>30</v>
      </c>
      <c r="J83" s="2" t="s">
        <v>33</v>
      </c>
      <c r="K83" s="2" t="s">
        <v>38</v>
      </c>
      <c r="L83" s="2" t="s">
        <v>41</v>
      </c>
      <c r="V83" s="4">
        <v>83</v>
      </c>
      <c r="W83" s="4">
        <v>1</v>
      </c>
      <c r="X83" s="5"/>
      <c r="Y83" s="4"/>
      <c r="Z83" s="4"/>
    </row>
    <row r="84" spans="1:26" x14ac:dyDescent="0.3">
      <c r="B84" t="s">
        <v>82</v>
      </c>
      <c r="C84">
        <v>567</v>
      </c>
      <c r="D84">
        <v>798</v>
      </c>
      <c r="E84">
        <v>604</v>
      </c>
      <c r="F84">
        <v>448</v>
      </c>
      <c r="G84">
        <v>255</v>
      </c>
      <c r="H84">
        <v>629</v>
      </c>
      <c r="I84">
        <v>525</v>
      </c>
      <c r="J84">
        <v>442</v>
      </c>
      <c r="K84">
        <v>211</v>
      </c>
      <c r="L84">
        <v>218</v>
      </c>
      <c r="M84">
        <f>SUM(C84:L84)</f>
        <v>4697</v>
      </c>
      <c r="V84" s="4">
        <v>84</v>
      </c>
      <c r="W84" s="4">
        <v>2</v>
      </c>
      <c r="X84" s="5"/>
      <c r="Y84" s="4"/>
      <c r="Z84" s="4"/>
    </row>
    <row r="85" spans="1:26" x14ac:dyDescent="0.3">
      <c r="B85" t="s">
        <v>83</v>
      </c>
      <c r="C85">
        <v>1337</v>
      </c>
      <c r="D85">
        <v>1669</v>
      </c>
      <c r="E85">
        <v>904</v>
      </c>
      <c r="F85">
        <v>2167</v>
      </c>
      <c r="G85">
        <v>2290</v>
      </c>
      <c r="H85">
        <v>1852</v>
      </c>
      <c r="I85">
        <v>1926</v>
      </c>
      <c r="J85">
        <v>1476</v>
      </c>
      <c r="K85">
        <v>495</v>
      </c>
      <c r="L85">
        <v>416</v>
      </c>
      <c r="V85" s="4">
        <v>85</v>
      </c>
      <c r="W85" s="4">
        <v>4</v>
      </c>
      <c r="X85" s="5"/>
      <c r="Y85" s="4"/>
      <c r="Z85" s="4"/>
    </row>
    <row r="86" spans="1:26" x14ac:dyDescent="0.3">
      <c r="B86" t="s">
        <v>84</v>
      </c>
      <c r="C86">
        <v>1</v>
      </c>
      <c r="D86">
        <v>4</v>
      </c>
      <c r="E86">
        <v>1</v>
      </c>
      <c r="F86">
        <v>0</v>
      </c>
      <c r="G86">
        <v>8</v>
      </c>
      <c r="H86">
        <v>23</v>
      </c>
      <c r="I86">
        <v>27</v>
      </c>
      <c r="J86">
        <v>0</v>
      </c>
      <c r="K86">
        <v>12</v>
      </c>
      <c r="L86">
        <v>13</v>
      </c>
      <c r="V86" s="4">
        <v>90</v>
      </c>
      <c r="W86" s="4">
        <v>2</v>
      </c>
      <c r="X86" s="5"/>
      <c r="Y86" s="4"/>
      <c r="Z86" s="4"/>
    </row>
    <row r="87" spans="1:26" x14ac:dyDescent="0.3">
      <c r="C87">
        <f>C86/C84</f>
        <v>1.7636684303350969E-3</v>
      </c>
      <c r="D87">
        <f t="shared" ref="D87:L87" si="6">D86/D84</f>
        <v>5.0125313283208017E-3</v>
      </c>
      <c r="E87">
        <f t="shared" si="6"/>
        <v>1.6556291390728477E-3</v>
      </c>
      <c r="F87">
        <f t="shared" si="6"/>
        <v>0</v>
      </c>
      <c r="G87">
        <f t="shared" si="6"/>
        <v>3.1372549019607843E-2</v>
      </c>
      <c r="H87">
        <f t="shared" si="6"/>
        <v>3.6565977742448331E-2</v>
      </c>
      <c r="I87">
        <f t="shared" si="6"/>
        <v>5.1428571428571428E-2</v>
      </c>
      <c r="J87">
        <f t="shared" si="6"/>
        <v>0</v>
      </c>
      <c r="K87">
        <f t="shared" si="6"/>
        <v>5.6872037914691941E-2</v>
      </c>
      <c r="L87">
        <f t="shared" si="6"/>
        <v>5.9633027522935783E-2</v>
      </c>
      <c r="V87" s="4">
        <v>92</v>
      </c>
      <c r="W87" s="4">
        <v>1</v>
      </c>
      <c r="X87" s="5"/>
      <c r="Y87" s="4"/>
      <c r="Z87" s="4"/>
    </row>
    <row r="88" spans="1:26" x14ac:dyDescent="0.3">
      <c r="V88" s="4">
        <v>94</v>
      </c>
      <c r="W88" s="4">
        <v>1</v>
      </c>
      <c r="X88" s="5"/>
      <c r="Y88" s="4"/>
      <c r="Z88" s="4"/>
    </row>
    <row r="89" spans="1:26" x14ac:dyDescent="0.3">
      <c r="V89" s="4">
        <v>95</v>
      </c>
      <c r="W89" s="4">
        <v>1</v>
      </c>
      <c r="X89" s="5"/>
      <c r="Y89" s="4"/>
      <c r="Z89" s="4"/>
    </row>
    <row r="90" spans="1:26" s="16" customFormat="1" x14ac:dyDescent="0.3">
      <c r="V90" s="4">
        <v>96</v>
      </c>
      <c r="W90" s="4">
        <v>1</v>
      </c>
      <c r="X90" s="5"/>
      <c r="Y90" s="4"/>
      <c r="Z90" s="4"/>
    </row>
    <row r="91" spans="1:26" s="16" customFormat="1" x14ac:dyDescent="0.3">
      <c r="V91" s="4">
        <v>97</v>
      </c>
      <c r="W91" s="4">
        <v>1</v>
      </c>
      <c r="X91" s="5"/>
      <c r="Y91" s="4"/>
      <c r="Z91" s="4"/>
    </row>
    <row r="92" spans="1:26" s="16" customFormat="1" x14ac:dyDescent="0.3">
      <c r="V92" s="4">
        <v>103</v>
      </c>
      <c r="W92" s="4">
        <v>1</v>
      </c>
      <c r="X92" s="5"/>
      <c r="Y92" s="4"/>
      <c r="Z92" s="4"/>
    </row>
    <row r="93" spans="1:26" s="16" customFormat="1" x14ac:dyDescent="0.3">
      <c r="V93" s="4">
        <v>105</v>
      </c>
      <c r="W93" s="4">
        <v>1</v>
      </c>
      <c r="X93" s="5"/>
      <c r="Y93" s="4"/>
      <c r="Z93" s="4"/>
    </row>
    <row r="94" spans="1:26" s="16" customFormat="1" x14ac:dyDescent="0.3">
      <c r="V94" s="4">
        <v>106</v>
      </c>
      <c r="W94" s="4">
        <v>1</v>
      </c>
      <c r="X94" s="5"/>
      <c r="Y94" s="4"/>
      <c r="Z94" s="4"/>
    </row>
    <row r="95" spans="1:26" s="16" customFormat="1" x14ac:dyDescent="0.3">
      <c r="V95" s="4">
        <v>108</v>
      </c>
      <c r="W95" s="4">
        <v>1</v>
      </c>
      <c r="X95" s="5"/>
      <c r="Y95" s="4"/>
      <c r="Z95" s="4"/>
    </row>
    <row r="96" spans="1:26" x14ac:dyDescent="0.3">
      <c r="V96" s="4">
        <v>110</v>
      </c>
      <c r="W96" s="4">
        <v>1</v>
      </c>
      <c r="X96" s="5"/>
      <c r="Y96" s="15"/>
      <c r="Z96" s="15"/>
    </row>
    <row r="97" spans="1:26" x14ac:dyDescent="0.3">
      <c r="A97" t="s">
        <v>86</v>
      </c>
      <c r="V97" s="4">
        <v>113</v>
      </c>
      <c r="W97" s="4">
        <v>1</v>
      </c>
      <c r="X97" s="5"/>
      <c r="Y97" s="15"/>
      <c r="Z97" s="15"/>
    </row>
    <row r="98" spans="1:26" x14ac:dyDescent="0.3">
      <c r="C98" s="2" t="s">
        <v>10</v>
      </c>
      <c r="D98" s="2" t="s">
        <v>14</v>
      </c>
      <c r="E98" s="2" t="s">
        <v>18</v>
      </c>
      <c r="F98" s="2" t="s">
        <v>22</v>
      </c>
      <c r="G98" s="2" t="s">
        <v>25</v>
      </c>
      <c r="H98" s="2" t="s">
        <v>28</v>
      </c>
      <c r="I98" s="2" t="s">
        <v>30</v>
      </c>
      <c r="J98" s="2" t="s">
        <v>33</v>
      </c>
      <c r="K98" s="2" t="s">
        <v>38</v>
      </c>
      <c r="L98" s="2" t="s">
        <v>41</v>
      </c>
      <c r="V98" s="4">
        <v>116</v>
      </c>
      <c r="W98" s="4">
        <v>2</v>
      </c>
      <c r="X98" s="5"/>
      <c r="Y98" s="15"/>
      <c r="Z98" s="15"/>
    </row>
    <row r="99" spans="1:26" x14ac:dyDescent="0.3">
      <c r="B99" t="s">
        <v>87</v>
      </c>
      <c r="C99">
        <v>1814</v>
      </c>
      <c r="D99">
        <v>1959</v>
      </c>
      <c r="E99">
        <v>992</v>
      </c>
      <c r="F99">
        <v>1068</v>
      </c>
      <c r="G99">
        <v>474</v>
      </c>
      <c r="H99">
        <v>937</v>
      </c>
      <c r="I99">
        <v>1637</v>
      </c>
      <c r="J99">
        <v>504</v>
      </c>
      <c r="K99">
        <v>511</v>
      </c>
      <c r="L99">
        <v>690</v>
      </c>
      <c r="V99" s="4">
        <v>121</v>
      </c>
      <c r="W99" s="4">
        <v>1</v>
      </c>
      <c r="X99" s="5"/>
      <c r="Y99" s="4"/>
      <c r="Z99" s="4"/>
    </row>
    <row r="100" spans="1:26" x14ac:dyDescent="0.3">
      <c r="B100" t="s">
        <v>85</v>
      </c>
      <c r="C100">
        <v>5868</v>
      </c>
      <c r="D100">
        <v>6736</v>
      </c>
      <c r="E100">
        <v>5117</v>
      </c>
      <c r="F100">
        <v>9897</v>
      </c>
      <c r="G100">
        <v>6925</v>
      </c>
      <c r="H100">
        <v>8374</v>
      </c>
      <c r="I100">
        <v>7530</v>
      </c>
      <c r="J100">
        <v>5879</v>
      </c>
      <c r="K100">
        <v>3742</v>
      </c>
      <c r="L100">
        <v>2608</v>
      </c>
      <c r="V100" s="4">
        <v>122</v>
      </c>
      <c r="W100" s="4">
        <v>1</v>
      </c>
      <c r="X100" s="5"/>
      <c r="Y100" s="4"/>
      <c r="Z100" s="4"/>
    </row>
    <row r="101" spans="1:26" x14ac:dyDescent="0.3">
      <c r="B101" t="s">
        <v>84</v>
      </c>
      <c r="C101">
        <v>104</v>
      </c>
      <c r="D101">
        <v>122</v>
      </c>
      <c r="E101">
        <v>68</v>
      </c>
      <c r="F101">
        <v>99</v>
      </c>
      <c r="G101">
        <v>36</v>
      </c>
      <c r="H101">
        <v>114</v>
      </c>
      <c r="I101">
        <v>189</v>
      </c>
      <c r="J101">
        <v>34</v>
      </c>
      <c r="K101">
        <v>97</v>
      </c>
      <c r="L101">
        <v>114</v>
      </c>
      <c r="V101" s="4">
        <v>133</v>
      </c>
      <c r="W101" s="4">
        <v>1</v>
      </c>
      <c r="X101" s="5"/>
      <c r="Y101" s="15"/>
      <c r="Z101" s="15"/>
    </row>
    <row r="102" spans="1:26" x14ac:dyDescent="0.3">
      <c r="C102">
        <f>C101/C99</f>
        <v>5.7331863285556783E-2</v>
      </c>
      <c r="D102">
        <f t="shared" ref="D102:L102" si="7">D101/D99</f>
        <v>6.2276671771311895E-2</v>
      </c>
      <c r="E102">
        <f t="shared" si="7"/>
        <v>6.8548387096774188E-2</v>
      </c>
      <c r="F102">
        <f t="shared" si="7"/>
        <v>9.269662921348315E-2</v>
      </c>
      <c r="G102">
        <f t="shared" si="7"/>
        <v>7.5949367088607597E-2</v>
      </c>
      <c r="H102">
        <f t="shared" si="7"/>
        <v>0.12166488794023479</v>
      </c>
      <c r="I102">
        <f t="shared" si="7"/>
        <v>0.11545510079413561</v>
      </c>
      <c r="J102">
        <f t="shared" si="7"/>
        <v>6.7460317460317457E-2</v>
      </c>
      <c r="K102">
        <f t="shared" si="7"/>
        <v>0.18982387475538159</v>
      </c>
      <c r="L102">
        <f t="shared" si="7"/>
        <v>0.16521739130434782</v>
      </c>
      <c r="V102" s="4">
        <v>155</v>
      </c>
      <c r="W102" s="4">
        <v>1</v>
      </c>
      <c r="X102" s="5"/>
      <c r="Y102" s="15"/>
      <c r="Z102" s="15"/>
    </row>
    <row r="103" spans="1:26" x14ac:dyDescent="0.3">
      <c r="V103" s="4">
        <v>174</v>
      </c>
      <c r="W103" s="4">
        <v>1</v>
      </c>
      <c r="X103" s="5"/>
      <c r="Y103" s="4"/>
      <c r="Z103" s="4"/>
    </row>
    <row r="104" spans="1:26" x14ac:dyDescent="0.3">
      <c r="V104" s="4">
        <v>178</v>
      </c>
      <c r="W104" s="4">
        <v>1</v>
      </c>
      <c r="X104" s="5"/>
      <c r="Y104" s="4"/>
      <c r="Z104" s="4"/>
    </row>
    <row r="105" spans="1:26" x14ac:dyDescent="0.3">
      <c r="V105" s="4">
        <v>302</v>
      </c>
      <c r="W105" s="4">
        <v>1</v>
      </c>
      <c r="X105" s="5"/>
      <c r="Y105" s="4"/>
      <c r="Z105" s="4"/>
    </row>
    <row r="108" spans="1:26" x14ac:dyDescent="0.3">
      <c r="C108" s="2" t="s">
        <v>10</v>
      </c>
      <c r="D108" s="2" t="s">
        <v>14</v>
      </c>
      <c r="E108" s="2" t="s">
        <v>18</v>
      </c>
      <c r="F108" s="2" t="s">
        <v>22</v>
      </c>
      <c r="G108" s="2" t="s">
        <v>25</v>
      </c>
      <c r="H108" s="2" t="s">
        <v>28</v>
      </c>
      <c r="I108" s="2" t="s">
        <v>30</v>
      </c>
      <c r="J108" s="2" t="s">
        <v>33</v>
      </c>
      <c r="K108" s="2" t="s">
        <v>38</v>
      </c>
      <c r="L108" s="2" t="s">
        <v>41</v>
      </c>
    </row>
    <row r="109" spans="1:26" x14ac:dyDescent="0.3">
      <c r="B109" t="s">
        <v>88</v>
      </c>
      <c r="C109">
        <v>1.7636684303350969E-3</v>
      </c>
      <c r="D109">
        <v>5.0125313283208017E-3</v>
      </c>
      <c r="E109">
        <v>1.6556291390728477E-3</v>
      </c>
      <c r="F109">
        <v>0</v>
      </c>
      <c r="G109">
        <v>3.1372549019607843E-2</v>
      </c>
      <c r="H109">
        <v>3.6565977742448331E-2</v>
      </c>
      <c r="I109">
        <v>5.1428571428571428E-2</v>
      </c>
      <c r="J109">
        <v>0</v>
      </c>
      <c r="K109">
        <v>5.6872037914691941E-2</v>
      </c>
      <c r="L109">
        <v>5.9633027522935783E-2</v>
      </c>
    </row>
    <row r="110" spans="1:26" x14ac:dyDescent="0.3">
      <c r="B110" t="s">
        <v>89</v>
      </c>
      <c r="C110">
        <v>5.7331863285556783E-2</v>
      </c>
      <c r="D110">
        <v>6.2276671771311895E-2</v>
      </c>
      <c r="E110">
        <v>2.8349082823790995E-2</v>
      </c>
      <c r="F110">
        <v>9.269662921348315E-2</v>
      </c>
      <c r="G110">
        <v>7.5949367088607597E-2</v>
      </c>
      <c r="H110">
        <v>0.12166488794023479</v>
      </c>
      <c r="I110">
        <v>0.11545510079413561</v>
      </c>
      <c r="J110">
        <v>6.7460317460317457E-2</v>
      </c>
      <c r="K110">
        <v>0.18982387475538159</v>
      </c>
      <c r="L110">
        <v>0.16521739130434782</v>
      </c>
    </row>
    <row r="112" spans="1:26" x14ac:dyDescent="0.3">
      <c r="C112" s="16"/>
      <c r="D112" s="16"/>
      <c r="E112" s="16"/>
      <c r="F112" s="16"/>
      <c r="G112" s="16"/>
      <c r="H112" s="16"/>
    </row>
    <row r="113" spans="1:13" x14ac:dyDescent="0.3">
      <c r="C113" s="16"/>
      <c r="D113" s="16"/>
      <c r="E113" s="16"/>
      <c r="F113" s="16"/>
      <c r="G113" s="16"/>
      <c r="H113" s="16"/>
    </row>
    <row r="114" spans="1:13" x14ac:dyDescent="0.3">
      <c r="C114" s="16"/>
      <c r="D114" s="16"/>
      <c r="E114" s="16"/>
      <c r="F114" s="16"/>
      <c r="G114" s="16"/>
      <c r="H114" s="16"/>
    </row>
    <row r="115" spans="1:13" x14ac:dyDescent="0.3">
      <c r="C115" s="16"/>
      <c r="D115" s="16"/>
      <c r="E115" s="16"/>
      <c r="F115" s="16"/>
      <c r="G115" s="16"/>
      <c r="H115" s="16"/>
    </row>
    <row r="116" spans="1:13" x14ac:dyDescent="0.3">
      <c r="C116" s="16"/>
      <c r="D116" s="16"/>
      <c r="E116" s="16"/>
      <c r="F116" s="16"/>
      <c r="G116" s="16"/>
      <c r="H116" s="16"/>
    </row>
    <row r="117" spans="1:13" x14ac:dyDescent="0.3">
      <c r="C117" s="16"/>
      <c r="D117" s="16"/>
      <c r="E117" s="16"/>
      <c r="F117" s="16"/>
      <c r="G117" s="16"/>
      <c r="H117" s="16"/>
    </row>
    <row r="118" spans="1:13" x14ac:dyDescent="0.3">
      <c r="C118" s="16"/>
      <c r="D118" s="16"/>
      <c r="E118" s="16"/>
      <c r="F118" s="16"/>
      <c r="G118" s="16"/>
      <c r="H118" s="16"/>
    </row>
    <row r="119" spans="1:13" x14ac:dyDescent="0.3">
      <c r="C119" s="16"/>
      <c r="D119" s="16"/>
      <c r="E119" s="16"/>
      <c r="F119" s="16"/>
      <c r="G119" s="16"/>
      <c r="H119" s="16"/>
    </row>
    <row r="120" spans="1:13" x14ac:dyDescent="0.3">
      <c r="C120" s="16"/>
      <c r="D120" s="16"/>
      <c r="E120" s="16"/>
      <c r="F120" s="16"/>
      <c r="G120" s="16"/>
      <c r="H120" s="16"/>
    </row>
    <row r="121" spans="1:13" x14ac:dyDescent="0.3">
      <c r="C121" s="16"/>
      <c r="D121" s="16"/>
      <c r="E121" s="16"/>
      <c r="F121" s="16"/>
      <c r="G121" s="16"/>
      <c r="H121" s="16"/>
    </row>
    <row r="122" spans="1:13" x14ac:dyDescent="0.3">
      <c r="C122" s="16"/>
      <c r="D122" s="16"/>
      <c r="E122" s="16"/>
      <c r="F122" s="16"/>
      <c r="G122" s="16"/>
      <c r="H122" s="16"/>
    </row>
    <row r="123" spans="1:13" x14ac:dyDescent="0.3">
      <c r="C123" s="16"/>
      <c r="D123" s="16"/>
      <c r="E123" s="16"/>
      <c r="F123" s="16"/>
      <c r="G123" s="16"/>
      <c r="H123" s="16"/>
    </row>
    <row r="124" spans="1:13" x14ac:dyDescent="0.3">
      <c r="C124" s="16"/>
      <c r="D124" s="16"/>
      <c r="E124" s="16"/>
      <c r="F124" s="16"/>
      <c r="G124" s="16"/>
      <c r="H124" s="16"/>
    </row>
    <row r="125" spans="1:13" x14ac:dyDescent="0.3">
      <c r="C125" s="16"/>
      <c r="D125" s="16"/>
      <c r="E125" s="16"/>
      <c r="F125" s="16"/>
      <c r="G125" s="16"/>
      <c r="H125" s="16"/>
    </row>
    <row r="126" spans="1:13" x14ac:dyDescent="0.3">
      <c r="A126" t="s">
        <v>90</v>
      </c>
    </row>
    <row r="127" spans="1:13" x14ac:dyDescent="0.3">
      <c r="C127" s="2" t="s">
        <v>10</v>
      </c>
      <c r="D127" s="2" t="s">
        <v>14</v>
      </c>
      <c r="E127" s="2" t="s">
        <v>18</v>
      </c>
      <c r="F127" s="2" t="s">
        <v>22</v>
      </c>
      <c r="G127" s="2" t="s">
        <v>25</v>
      </c>
      <c r="H127" s="2" t="s">
        <v>28</v>
      </c>
      <c r="I127" s="2" t="s">
        <v>30</v>
      </c>
      <c r="J127" s="2" t="s">
        <v>33</v>
      </c>
      <c r="K127" s="2" t="s">
        <v>38</v>
      </c>
      <c r="L127" s="2" t="s">
        <v>41</v>
      </c>
    </row>
    <row r="128" spans="1:13" x14ac:dyDescent="0.3">
      <c r="A128" t="s">
        <v>91</v>
      </c>
      <c r="B128" t="s">
        <v>92</v>
      </c>
      <c r="C128">
        <v>222</v>
      </c>
      <c r="D128">
        <v>310</v>
      </c>
      <c r="E128">
        <v>250</v>
      </c>
      <c r="F128">
        <v>213</v>
      </c>
      <c r="G128">
        <v>104</v>
      </c>
      <c r="H128">
        <v>281</v>
      </c>
      <c r="I128">
        <v>247</v>
      </c>
      <c r="J128">
        <v>121</v>
      </c>
      <c r="K128">
        <v>127</v>
      </c>
      <c r="L128">
        <v>124</v>
      </c>
      <c r="M128">
        <f>SUM(C128:L128)</f>
        <v>1999</v>
      </c>
    </row>
    <row r="129" spans="1:23" x14ac:dyDescent="0.3">
      <c r="B129" t="s">
        <v>93</v>
      </c>
      <c r="C129">
        <v>206</v>
      </c>
      <c r="D129">
        <v>331</v>
      </c>
      <c r="E129">
        <v>263</v>
      </c>
      <c r="F129">
        <v>175</v>
      </c>
      <c r="G129">
        <v>107</v>
      </c>
      <c r="H129">
        <v>344</v>
      </c>
      <c r="I129">
        <v>216</v>
      </c>
      <c r="J129">
        <v>211</v>
      </c>
      <c r="K129">
        <v>126</v>
      </c>
      <c r="L129">
        <v>133</v>
      </c>
      <c r="M129">
        <f>SUM(C129:L129)</f>
        <v>2112</v>
      </c>
    </row>
    <row r="130" spans="1:23" x14ac:dyDescent="0.3">
      <c r="C130">
        <f>SUM(C128:C129)</f>
        <v>428</v>
      </c>
      <c r="D130">
        <f t="shared" ref="D130:L130" si="8">SUM(D128:D129)</f>
        <v>641</v>
      </c>
      <c r="E130">
        <f t="shared" si="8"/>
        <v>513</v>
      </c>
      <c r="F130">
        <f t="shared" si="8"/>
        <v>388</v>
      </c>
      <c r="G130">
        <f t="shared" si="8"/>
        <v>211</v>
      </c>
      <c r="H130">
        <f t="shared" si="8"/>
        <v>625</v>
      </c>
      <c r="I130">
        <f t="shared" si="8"/>
        <v>463</v>
      </c>
      <c r="J130">
        <f t="shared" si="8"/>
        <v>332</v>
      </c>
      <c r="K130">
        <f t="shared" si="8"/>
        <v>253</v>
      </c>
      <c r="L130">
        <f t="shared" si="8"/>
        <v>257</v>
      </c>
    </row>
    <row r="131" spans="1:23" x14ac:dyDescent="0.3">
      <c r="C131">
        <f>C128/C130</f>
        <v>0.51869158878504673</v>
      </c>
      <c r="D131">
        <f t="shared" ref="D131:L131" si="9">D128/D130</f>
        <v>0.48361934477379093</v>
      </c>
      <c r="E131">
        <f t="shared" si="9"/>
        <v>0.48732943469785572</v>
      </c>
      <c r="F131">
        <f t="shared" si="9"/>
        <v>0.5489690721649485</v>
      </c>
      <c r="G131">
        <f t="shared" si="9"/>
        <v>0.49289099526066349</v>
      </c>
      <c r="H131">
        <f t="shared" si="9"/>
        <v>0.4496</v>
      </c>
      <c r="I131">
        <f t="shared" si="9"/>
        <v>0.53347732181425489</v>
      </c>
      <c r="J131">
        <f t="shared" si="9"/>
        <v>0.36445783132530118</v>
      </c>
      <c r="K131">
        <f t="shared" si="9"/>
        <v>0.50197628458498023</v>
      </c>
      <c r="L131">
        <f t="shared" si="9"/>
        <v>0.48249027237354086</v>
      </c>
    </row>
    <row r="132" spans="1:23" x14ac:dyDescent="0.3">
      <c r="A132" t="s">
        <v>94</v>
      </c>
      <c r="B132" t="s">
        <v>92</v>
      </c>
      <c r="C132">
        <v>51</v>
      </c>
      <c r="D132">
        <v>65</v>
      </c>
      <c r="E132">
        <v>37</v>
      </c>
      <c r="F132">
        <v>30</v>
      </c>
      <c r="G132">
        <v>10</v>
      </c>
      <c r="H132">
        <v>35</v>
      </c>
      <c r="I132">
        <v>35</v>
      </c>
      <c r="J132">
        <v>28</v>
      </c>
      <c r="K132">
        <v>12</v>
      </c>
      <c r="L132">
        <v>16</v>
      </c>
      <c r="M132">
        <f t="shared" ref="M132:M141" si="10">SUM(C132:L132)</f>
        <v>319</v>
      </c>
    </row>
    <row r="133" spans="1:23" x14ac:dyDescent="0.3">
      <c r="B133" t="s">
        <v>93</v>
      </c>
      <c r="C133">
        <v>79</v>
      </c>
      <c r="D133">
        <v>95</v>
      </c>
      <c r="E133">
        <v>67</v>
      </c>
      <c r="F133">
        <v>55</v>
      </c>
      <c r="G133">
        <v>26</v>
      </c>
      <c r="H133">
        <v>71</v>
      </c>
      <c r="I133">
        <v>59</v>
      </c>
      <c r="J133">
        <v>68</v>
      </c>
      <c r="K133">
        <v>10</v>
      </c>
      <c r="L133">
        <v>23</v>
      </c>
      <c r="M133">
        <f t="shared" si="10"/>
        <v>553</v>
      </c>
    </row>
    <row r="134" spans="1:23" x14ac:dyDescent="0.3">
      <c r="C134">
        <f>SUM(C132:C133)</f>
        <v>130</v>
      </c>
      <c r="D134">
        <f t="shared" ref="D134:L134" si="11">SUM(D132:D133)</f>
        <v>160</v>
      </c>
      <c r="E134">
        <f t="shared" si="11"/>
        <v>104</v>
      </c>
      <c r="F134">
        <f t="shared" si="11"/>
        <v>85</v>
      </c>
      <c r="G134">
        <f t="shared" si="11"/>
        <v>36</v>
      </c>
      <c r="H134">
        <f t="shared" si="11"/>
        <v>106</v>
      </c>
      <c r="I134">
        <f t="shared" si="11"/>
        <v>94</v>
      </c>
      <c r="J134">
        <f t="shared" si="11"/>
        <v>96</v>
      </c>
      <c r="K134">
        <f t="shared" si="11"/>
        <v>22</v>
      </c>
      <c r="L134">
        <f t="shared" si="11"/>
        <v>39</v>
      </c>
    </row>
    <row r="135" spans="1:23" x14ac:dyDescent="0.3">
      <c r="C135">
        <f>C132/C134</f>
        <v>0.3923076923076923</v>
      </c>
      <c r="D135">
        <f>D132/D134</f>
        <v>0.40625</v>
      </c>
      <c r="E135">
        <f t="shared" ref="E135:L135" si="12">E132/E134</f>
        <v>0.35576923076923078</v>
      </c>
      <c r="F135">
        <f t="shared" si="12"/>
        <v>0.35294117647058826</v>
      </c>
      <c r="G135">
        <f t="shared" si="12"/>
        <v>0.27777777777777779</v>
      </c>
      <c r="H135">
        <f t="shared" si="12"/>
        <v>0.330188679245283</v>
      </c>
      <c r="I135">
        <f t="shared" si="12"/>
        <v>0.37234042553191488</v>
      </c>
      <c r="J135">
        <f t="shared" si="12"/>
        <v>0.29166666666666669</v>
      </c>
      <c r="K135">
        <f t="shared" si="12"/>
        <v>0.54545454545454541</v>
      </c>
      <c r="L135">
        <f t="shared" si="12"/>
        <v>0.41025641025641024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x14ac:dyDescent="0.3">
      <c r="A136" t="s">
        <v>95</v>
      </c>
      <c r="B136" t="s">
        <v>92</v>
      </c>
      <c r="C136">
        <v>18</v>
      </c>
      <c r="D136">
        <v>26</v>
      </c>
      <c r="E136">
        <v>24</v>
      </c>
      <c r="F136">
        <v>16</v>
      </c>
      <c r="G136">
        <v>6</v>
      </c>
      <c r="H136">
        <v>18</v>
      </c>
      <c r="I136">
        <v>27</v>
      </c>
      <c r="J136">
        <v>16</v>
      </c>
      <c r="K136">
        <v>2</v>
      </c>
      <c r="L136">
        <v>3</v>
      </c>
      <c r="M136">
        <f t="shared" si="10"/>
        <v>156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x14ac:dyDescent="0.3">
      <c r="B137" t="s">
        <v>93</v>
      </c>
      <c r="C137">
        <v>52</v>
      </c>
      <c r="D137">
        <v>81</v>
      </c>
      <c r="E137">
        <v>44</v>
      </c>
      <c r="F137">
        <v>45</v>
      </c>
      <c r="G137">
        <v>13</v>
      </c>
      <c r="H137">
        <v>73</v>
      </c>
      <c r="I137">
        <v>51</v>
      </c>
      <c r="J137">
        <v>33</v>
      </c>
      <c r="K137">
        <v>18</v>
      </c>
      <c r="L137">
        <v>22</v>
      </c>
      <c r="M137">
        <f t="shared" si="10"/>
        <v>432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x14ac:dyDescent="0.3">
      <c r="C138">
        <f>SUM(C136:C137)</f>
        <v>70</v>
      </c>
      <c r="D138">
        <f t="shared" ref="D138:L138" si="13">SUM(D136:D137)</f>
        <v>107</v>
      </c>
      <c r="E138">
        <f t="shared" si="13"/>
        <v>68</v>
      </c>
      <c r="F138">
        <f t="shared" si="13"/>
        <v>61</v>
      </c>
      <c r="G138">
        <f t="shared" si="13"/>
        <v>19</v>
      </c>
      <c r="H138">
        <f t="shared" si="13"/>
        <v>91</v>
      </c>
      <c r="I138">
        <f t="shared" si="13"/>
        <v>78</v>
      </c>
      <c r="J138">
        <f t="shared" si="13"/>
        <v>49</v>
      </c>
      <c r="K138">
        <f t="shared" si="13"/>
        <v>20</v>
      </c>
      <c r="L138">
        <f t="shared" si="13"/>
        <v>25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x14ac:dyDescent="0.3">
      <c r="C139">
        <f>C136/C138</f>
        <v>0.25714285714285712</v>
      </c>
      <c r="D139">
        <f t="shared" ref="D139:L139" si="14">D136/D138</f>
        <v>0.24299065420560748</v>
      </c>
      <c r="E139">
        <f t="shared" si="14"/>
        <v>0.35294117647058826</v>
      </c>
      <c r="F139">
        <f t="shared" si="14"/>
        <v>0.26229508196721313</v>
      </c>
      <c r="G139">
        <f t="shared" si="14"/>
        <v>0.31578947368421051</v>
      </c>
      <c r="H139">
        <f t="shared" si="14"/>
        <v>0.19780219780219779</v>
      </c>
      <c r="I139">
        <f t="shared" si="14"/>
        <v>0.34615384615384615</v>
      </c>
      <c r="J139">
        <f t="shared" si="14"/>
        <v>0.32653061224489793</v>
      </c>
      <c r="K139">
        <f t="shared" si="14"/>
        <v>0.1</v>
      </c>
      <c r="L139">
        <f t="shared" si="14"/>
        <v>0.12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x14ac:dyDescent="0.3">
      <c r="A140" t="s">
        <v>96</v>
      </c>
      <c r="B140" t="s">
        <v>92</v>
      </c>
      <c r="C140">
        <v>25</v>
      </c>
      <c r="D140">
        <v>40</v>
      </c>
      <c r="E140">
        <v>20</v>
      </c>
      <c r="F140">
        <v>25</v>
      </c>
      <c r="G140">
        <v>10</v>
      </c>
      <c r="H140">
        <v>26</v>
      </c>
      <c r="I140">
        <v>14</v>
      </c>
      <c r="J140">
        <v>22</v>
      </c>
      <c r="K140">
        <v>14</v>
      </c>
      <c r="L140">
        <v>4</v>
      </c>
      <c r="M140">
        <f t="shared" si="10"/>
        <v>200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x14ac:dyDescent="0.3">
      <c r="B141" t="s">
        <v>93</v>
      </c>
      <c r="C141">
        <v>69</v>
      </c>
      <c r="D141">
        <v>89</v>
      </c>
      <c r="E141">
        <v>59</v>
      </c>
      <c r="F141">
        <v>55</v>
      </c>
      <c r="G141">
        <v>32</v>
      </c>
      <c r="H141">
        <v>69</v>
      </c>
      <c r="I141">
        <v>47</v>
      </c>
      <c r="J141">
        <v>27</v>
      </c>
      <c r="K141">
        <v>14</v>
      </c>
      <c r="L141">
        <v>13</v>
      </c>
      <c r="M141">
        <f t="shared" si="10"/>
        <v>474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x14ac:dyDescent="0.3">
      <c r="C142">
        <f>SUM(C140:C141)</f>
        <v>94</v>
      </c>
      <c r="D142">
        <f t="shared" ref="D142:L142" si="15">SUM(D140:D141)</f>
        <v>129</v>
      </c>
      <c r="E142">
        <f t="shared" si="15"/>
        <v>79</v>
      </c>
      <c r="F142">
        <f t="shared" si="15"/>
        <v>80</v>
      </c>
      <c r="G142">
        <f t="shared" si="15"/>
        <v>42</v>
      </c>
      <c r="H142">
        <f t="shared" si="15"/>
        <v>95</v>
      </c>
      <c r="I142">
        <f t="shared" si="15"/>
        <v>61</v>
      </c>
      <c r="J142">
        <f t="shared" si="15"/>
        <v>49</v>
      </c>
      <c r="K142">
        <f t="shared" si="15"/>
        <v>28</v>
      </c>
      <c r="L142">
        <f t="shared" si="15"/>
        <v>17</v>
      </c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x14ac:dyDescent="0.3">
      <c r="C143">
        <f>C140/C142</f>
        <v>0.26595744680851063</v>
      </c>
      <c r="D143">
        <f t="shared" ref="D143:L143" si="16">D140/D142</f>
        <v>0.31007751937984496</v>
      </c>
      <c r="E143">
        <f t="shared" si="16"/>
        <v>0.25316455696202533</v>
      </c>
      <c r="F143">
        <f t="shared" si="16"/>
        <v>0.3125</v>
      </c>
      <c r="G143">
        <f t="shared" si="16"/>
        <v>0.23809523809523808</v>
      </c>
      <c r="H143">
        <f t="shared" si="16"/>
        <v>0.27368421052631581</v>
      </c>
      <c r="I143">
        <f t="shared" si="16"/>
        <v>0.22950819672131148</v>
      </c>
      <c r="J143">
        <f t="shared" si="16"/>
        <v>0.44897959183673469</v>
      </c>
      <c r="K143">
        <f t="shared" si="16"/>
        <v>0.5</v>
      </c>
      <c r="L143">
        <f t="shared" si="16"/>
        <v>0.23529411764705882</v>
      </c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x14ac:dyDescent="0.3">
      <c r="A144" t="s">
        <v>97</v>
      </c>
      <c r="B144" t="s">
        <v>92</v>
      </c>
      <c r="C144">
        <v>29</v>
      </c>
      <c r="D144">
        <v>36</v>
      </c>
      <c r="E144">
        <v>9</v>
      </c>
      <c r="F144">
        <v>24</v>
      </c>
      <c r="G144">
        <v>11</v>
      </c>
      <c r="H144">
        <v>15</v>
      </c>
      <c r="I144">
        <v>19</v>
      </c>
      <c r="J144">
        <v>6</v>
      </c>
      <c r="K144">
        <v>15</v>
      </c>
      <c r="L144">
        <v>9</v>
      </c>
      <c r="M144">
        <f>SUM(C144:L144)</f>
        <v>173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4" x14ac:dyDescent="0.3">
      <c r="B145" t="s">
        <v>93</v>
      </c>
      <c r="C145">
        <v>10</v>
      </c>
      <c r="D145">
        <v>9</v>
      </c>
      <c r="E145">
        <v>2</v>
      </c>
      <c r="F145">
        <v>7</v>
      </c>
      <c r="G145">
        <v>3</v>
      </c>
      <c r="H145">
        <v>6</v>
      </c>
      <c r="I145">
        <v>5</v>
      </c>
      <c r="J145">
        <v>1</v>
      </c>
      <c r="K145">
        <v>8</v>
      </c>
      <c r="L145">
        <v>10</v>
      </c>
      <c r="M145">
        <f>SUM(C145:L145)</f>
        <v>61</v>
      </c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4" x14ac:dyDescent="0.3">
      <c r="C146">
        <f>SUM(C144:C145)</f>
        <v>39</v>
      </c>
      <c r="D146">
        <f t="shared" ref="D146:K146" si="17">SUM(D144:D145)</f>
        <v>45</v>
      </c>
      <c r="E146">
        <f t="shared" si="17"/>
        <v>11</v>
      </c>
      <c r="F146">
        <f t="shared" si="17"/>
        <v>31</v>
      </c>
      <c r="G146">
        <f t="shared" si="17"/>
        <v>14</v>
      </c>
      <c r="H146">
        <f t="shared" si="17"/>
        <v>21</v>
      </c>
      <c r="I146">
        <f t="shared" si="17"/>
        <v>24</v>
      </c>
      <c r="J146">
        <f t="shared" si="17"/>
        <v>7</v>
      </c>
      <c r="K146">
        <f t="shared" si="17"/>
        <v>23</v>
      </c>
      <c r="L146">
        <f>SUM(L144:L145)</f>
        <v>19</v>
      </c>
      <c r="N146" s="16"/>
      <c r="O146" s="17"/>
      <c r="P146" s="16"/>
      <c r="Q146" s="16"/>
      <c r="R146" s="17"/>
      <c r="S146" s="16"/>
      <c r="T146" s="16"/>
      <c r="U146" s="16"/>
      <c r="V146" s="16"/>
      <c r="W146" s="16"/>
    </row>
    <row r="147" spans="1:24" x14ac:dyDescent="0.3">
      <c r="C147">
        <f>C144/C146</f>
        <v>0.74358974358974361</v>
      </c>
      <c r="D147">
        <f t="shared" ref="D147:L147" si="18">D144/D146</f>
        <v>0.8</v>
      </c>
      <c r="E147">
        <f t="shared" si="18"/>
        <v>0.81818181818181823</v>
      </c>
      <c r="F147">
        <f t="shared" si="18"/>
        <v>0.77419354838709675</v>
      </c>
      <c r="G147">
        <f t="shared" si="18"/>
        <v>0.7857142857142857</v>
      </c>
      <c r="H147">
        <f t="shared" si="18"/>
        <v>0.7142857142857143</v>
      </c>
      <c r="I147">
        <f t="shared" si="18"/>
        <v>0.79166666666666663</v>
      </c>
      <c r="J147">
        <f t="shared" si="18"/>
        <v>0.8571428571428571</v>
      </c>
      <c r="K147">
        <f t="shared" si="18"/>
        <v>0.65217391304347827</v>
      </c>
      <c r="L147">
        <f t="shared" si="18"/>
        <v>0.47368421052631576</v>
      </c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4" x14ac:dyDescent="0.3"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4" x14ac:dyDescent="0.3">
      <c r="B149" s="2" t="s">
        <v>10</v>
      </c>
      <c r="C149" s="2" t="s">
        <v>14</v>
      </c>
      <c r="D149" s="2" t="s">
        <v>18</v>
      </c>
      <c r="E149" s="2" t="s">
        <v>22</v>
      </c>
      <c r="F149" s="2" t="s">
        <v>25</v>
      </c>
      <c r="G149" s="2" t="s">
        <v>28</v>
      </c>
      <c r="H149" s="2" t="s">
        <v>30</v>
      </c>
      <c r="I149" s="2" t="s">
        <v>33</v>
      </c>
      <c r="J149" s="2" t="s">
        <v>38</v>
      </c>
      <c r="K149" s="2" t="s">
        <v>41</v>
      </c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 x14ac:dyDescent="0.3">
      <c r="A150" t="s">
        <v>46</v>
      </c>
      <c r="B150">
        <v>0.51869158878504673</v>
      </c>
      <c r="C150">
        <v>0.48361934477379093</v>
      </c>
      <c r="D150">
        <v>0.48732943469785572</v>
      </c>
      <c r="E150">
        <v>0.5489690721649485</v>
      </c>
      <c r="F150">
        <v>0.49289099526066349</v>
      </c>
      <c r="G150">
        <v>0.4496</v>
      </c>
      <c r="H150">
        <v>0.53347732181425489</v>
      </c>
      <c r="I150">
        <v>0.36445783132530118</v>
      </c>
      <c r="J150">
        <v>0.50197628458498023</v>
      </c>
      <c r="K150">
        <v>0.48249027237354086</v>
      </c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 x14ac:dyDescent="0.3">
      <c r="A151" t="s">
        <v>47</v>
      </c>
      <c r="B151">
        <v>0.3923076923076923</v>
      </c>
      <c r="C151">
        <v>0.40625</v>
      </c>
      <c r="D151">
        <v>0.35576923076923078</v>
      </c>
      <c r="E151">
        <v>0.35294117647058826</v>
      </c>
      <c r="F151">
        <v>0.27777777777777779</v>
      </c>
      <c r="G151">
        <v>0.330188679245283</v>
      </c>
      <c r="H151">
        <v>0.37234042553191488</v>
      </c>
      <c r="I151">
        <v>0.29166666666666669</v>
      </c>
      <c r="J151">
        <v>0.54545454545454541</v>
      </c>
      <c r="K151">
        <v>0.41025641025641024</v>
      </c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 x14ac:dyDescent="0.3">
      <c r="A152" t="s">
        <v>49</v>
      </c>
      <c r="B152">
        <v>0.25714285714285712</v>
      </c>
      <c r="C152">
        <v>0.24299065420560748</v>
      </c>
      <c r="D152">
        <v>0.35294117647058826</v>
      </c>
      <c r="E152">
        <v>0.26229508196721313</v>
      </c>
      <c r="F152">
        <v>0.31578947368421051</v>
      </c>
      <c r="G152">
        <v>0.19780219780219779</v>
      </c>
      <c r="H152">
        <v>0.34615384615384615</v>
      </c>
      <c r="I152">
        <v>0.32653061224489793</v>
      </c>
      <c r="J152">
        <v>0.1</v>
      </c>
      <c r="K152">
        <v>0.12</v>
      </c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 x14ac:dyDescent="0.3">
      <c r="A153" t="s">
        <v>48</v>
      </c>
      <c r="B153">
        <v>0.26595744680851063</v>
      </c>
      <c r="C153">
        <v>0.31007751937984496</v>
      </c>
      <c r="D153">
        <v>0.25316455696202533</v>
      </c>
      <c r="E153">
        <v>0.3125</v>
      </c>
      <c r="F153">
        <v>0.23809523809523808</v>
      </c>
      <c r="G153">
        <v>0.27368421052631581</v>
      </c>
      <c r="H153">
        <v>0.22950819672131148</v>
      </c>
      <c r="I153">
        <v>0.44897959183673469</v>
      </c>
      <c r="J153">
        <v>0.5</v>
      </c>
      <c r="K153">
        <v>0.23529411764705882</v>
      </c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 x14ac:dyDescent="0.3">
      <c r="A154" t="s">
        <v>50</v>
      </c>
      <c r="B154">
        <v>0.74358974358974361</v>
      </c>
      <c r="C154">
        <v>0.8</v>
      </c>
      <c r="D154">
        <v>0.81818181818181823</v>
      </c>
      <c r="E154">
        <v>0.77419354838709675</v>
      </c>
      <c r="F154">
        <v>0.7857142857142857</v>
      </c>
      <c r="G154">
        <v>0.7142857142857143</v>
      </c>
      <c r="H154">
        <v>0.79166666666666663</v>
      </c>
      <c r="I154">
        <v>0.8571428571428571</v>
      </c>
      <c r="J154">
        <v>0.65217391304347827</v>
      </c>
      <c r="K154">
        <v>0.47368421052631576</v>
      </c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 x14ac:dyDescent="0.3"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 x14ac:dyDescent="0.3"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 x14ac:dyDescent="0.3"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 x14ac:dyDescent="0.3"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 x14ac:dyDescent="0.3"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 x14ac:dyDescent="0.3"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3:24" x14ac:dyDescent="0.3"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3:24" x14ac:dyDescent="0.3"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3:24" x14ac:dyDescent="0.3"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3:24" x14ac:dyDescent="0.3"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3:24" x14ac:dyDescent="0.3"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3:24" x14ac:dyDescent="0.3"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3:24" x14ac:dyDescent="0.3"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3:24" x14ac:dyDescent="0.3"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3:24" x14ac:dyDescent="0.3"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3:24" x14ac:dyDescent="0.3"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3:24" x14ac:dyDescent="0.3"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3:24" x14ac:dyDescent="0.3"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3:24" x14ac:dyDescent="0.3"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3:24" x14ac:dyDescent="0.3"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3:24" x14ac:dyDescent="0.3"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3:24" x14ac:dyDescent="0.3"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3:24" x14ac:dyDescent="0.3"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3:24" x14ac:dyDescent="0.3"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3:24" x14ac:dyDescent="0.3"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 慧</dc:creator>
  <cp:lastModifiedBy>王 慧</cp:lastModifiedBy>
  <dcterms:created xsi:type="dcterms:W3CDTF">2026-10-29T08:00:41Z</dcterms:created>
  <dcterms:modified xsi:type="dcterms:W3CDTF">2026-10-29T08:05:11Z</dcterms:modified>
</cp:coreProperties>
</file>